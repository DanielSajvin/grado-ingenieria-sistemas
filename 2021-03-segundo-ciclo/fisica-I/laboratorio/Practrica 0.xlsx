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Sajvin\Desktop\"/>
    </mc:Choice>
  </mc:AlternateContent>
  <xr:revisionPtr revIDLastSave="0" documentId="13_ncr:1_{FE0A694E-0D39-402F-97C4-C168FC85D5F2}" xr6:coauthVersionLast="47" xr6:coauthVersionMax="47" xr10:uidLastSave="{00000000-0000-0000-0000-000000000000}"/>
  <bookViews>
    <workbookView xWindow="-108" yWindow="-108" windowWidth="23256" windowHeight="13176" xr2:uid="{3721177F-5286-4BA8-9B59-C496E3C7C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2" i="1" l="1"/>
  <c r="E63" i="1" s="1"/>
  <c r="C55" i="1"/>
  <c r="B57" i="1" s="1"/>
  <c r="C49" i="1"/>
  <c r="C48" i="1"/>
  <c r="B36" i="1"/>
  <c r="B37" i="1" s="1"/>
  <c r="B38" i="1" s="1"/>
  <c r="B39" i="1" s="1"/>
  <c r="B40" i="1" s="1"/>
  <c r="B41" i="1" s="1"/>
  <c r="B42" i="1" s="1"/>
  <c r="B43" i="1" s="1"/>
  <c r="B44" i="1" s="1"/>
  <c r="D20" i="1"/>
  <c r="C17" i="1"/>
  <c r="D15" i="1" s="1"/>
  <c r="B8" i="1"/>
  <c r="B9" i="1" s="1"/>
  <c r="B10" i="1" s="1"/>
  <c r="B11" i="1" s="1"/>
  <c r="B12" i="1" s="1"/>
  <c r="B13" i="1" s="1"/>
  <c r="B14" i="1" s="1"/>
  <c r="B15" i="1" s="1"/>
  <c r="B16" i="1" s="1"/>
  <c r="D9" i="1" l="1"/>
  <c r="D13" i="1"/>
  <c r="D10" i="1"/>
  <c r="D14" i="1"/>
  <c r="D8" i="1"/>
  <c r="D12" i="1"/>
  <c r="D16" i="1"/>
  <c r="C23" i="1"/>
  <c r="D7" i="1"/>
  <c r="D11" i="1"/>
  <c r="D17" i="1" l="1"/>
  <c r="D19" i="1" s="1"/>
  <c r="E23" i="1" s="1"/>
  <c r="C29" i="1" s="1"/>
  <c r="E27" i="1"/>
</calcChain>
</file>

<file path=xl/sharedStrings.xml><?xml version="1.0" encoding="utf-8"?>
<sst xmlns="http://schemas.openxmlformats.org/spreadsheetml/2006/main" count="43" uniqueCount="34">
  <si>
    <t>Nombre:</t>
  </si>
  <si>
    <t>Carne:</t>
  </si>
  <si>
    <t>Carrera:</t>
  </si>
  <si>
    <t>Ejercicio 1</t>
  </si>
  <si>
    <t>Numero de Intento</t>
  </si>
  <si>
    <t>Medición</t>
  </si>
  <si>
    <t>(Xprom - X)</t>
  </si>
  <si>
    <t>Promedio</t>
  </si>
  <si>
    <t>Desviación Estandar</t>
  </si>
  <si>
    <t>Formula Excel</t>
  </si>
  <si>
    <t>Pi</t>
  </si>
  <si>
    <t>(+)(-)</t>
  </si>
  <si>
    <t>Valor Central</t>
  </si>
  <si>
    <t>Incertidumbre</t>
  </si>
  <si>
    <t>Area</t>
  </si>
  <si>
    <t>(=)</t>
  </si>
  <si>
    <t>cm al cuadrado</t>
  </si>
  <si>
    <t>Incerteza del área</t>
  </si>
  <si>
    <t>Medición 1</t>
  </si>
  <si>
    <t>Medición 2</t>
  </si>
  <si>
    <t>Medición 3</t>
  </si>
  <si>
    <t>Medición 4</t>
  </si>
  <si>
    <t>Incerteza</t>
  </si>
  <si>
    <t>Perimetro</t>
  </si>
  <si>
    <t>=</t>
  </si>
  <si>
    <t>x/t</t>
  </si>
  <si>
    <t>Ejercicio 3</t>
  </si>
  <si>
    <t>Intento</t>
  </si>
  <si>
    <t>Tiempo</t>
  </si>
  <si>
    <t>Mario Daniel Sajvin Gómez</t>
  </si>
  <si>
    <t>Velocidad</t>
  </si>
  <si>
    <t>Conejo</t>
  </si>
  <si>
    <t>Diámetro =</t>
  </si>
  <si>
    <t>Ingenieria en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</si>
</sst>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/>
    <xf numFmtId="0" fontId="0" fillId="0" borderId="1" xfId="0" applyBorder="1"/>
    <xf numFmtId="0" fontId="0" fillId="2" borderId="0" xfId="0" applyFill="1"/>
    <xf numFmtId="2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216877</xdr:colOff>
      <xdr:row>26</xdr:row>
      <xdr:rowOff>4396</xdr:rowOff>
    </xdr:from>
    <xdr:ext cx="257827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D1C7E4A-A347-4582-8408-5D2D8F4FEFFB}"/>
                </a:ext>
              </a:extLst>
            </xdr:cNvPr>
            <xdr:cNvSpPr txBox="1"/>
          </xdr:nvSpPr>
          <xdr:spPr>
            <a:xfrm>
              <a:off x="2319997" y="4576396"/>
              <a:ext cx="25782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GT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s-GT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s-G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GT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D1C7E4A-A347-4582-8408-5D2D8F4FEFFB}"/>
                </a:ext>
              </a:extLst>
            </xdr:cNvPr>
            <xdr:cNvSpPr txBox="1"/>
          </xdr:nvSpPr>
          <xdr:spPr>
            <a:xfrm>
              <a:off x="2319997" y="4576396"/>
              <a:ext cx="25782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s-G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𝑟^2</a:t>
              </a:r>
              <a:endParaRPr lang="es-GT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D59F-F68C-4AA4-B0D1-F89CF649A6E8}">
  <dimension ref="A1:G71"/>
  <sheetViews>
    <sheetView tabSelected="1" workbookViewId="0">
      <selection activeCell="F8" sqref="F8"/>
    </sheetView>
  </sheetViews>
  <sheetFormatPr baseColWidth="10" defaultRowHeight="14.4" x14ac:dyDescent="0.3"/>
  <cols>
    <col min="1" max="1" width="13.77734375" customWidth="1"/>
    <col min="2" max="2" width="23" customWidth="1"/>
    <col min="3" max="3" width="19.21875" customWidth="1"/>
    <col min="5" max="5" width="14.109375" customWidth="1"/>
  </cols>
  <sheetData>
    <row r="1" spans="1:4" x14ac:dyDescent="0.3">
      <c r="A1" s="21" t="s">
        <v>0</v>
      </c>
      <c r="B1" s="22" t="s">
        <v>29</v>
      </c>
    </row>
    <row r="2" spans="1:4" x14ac:dyDescent="0.3">
      <c r="A2" s="21" t="s">
        <v>1</v>
      </c>
      <c r="B2" s="22">
        <v>1612921</v>
      </c>
      <c r="C2" s="23"/>
    </row>
    <row r="3" spans="1:4" x14ac:dyDescent="0.3">
      <c r="A3" s="21" t="s">
        <v>2</v>
      </c>
      <c r="B3" s="22" t="s">
        <v>33</v>
      </c>
    </row>
    <row r="4" spans="1:4" x14ac:dyDescent="0.3">
      <c r="A4" s="21"/>
    </row>
    <row r="5" spans="1:4" ht="15.6" x14ac:dyDescent="0.3">
      <c r="A5" s="16" t="s">
        <v>3</v>
      </c>
    </row>
    <row r="6" spans="1:4" ht="15.6" x14ac:dyDescent="0.3">
      <c r="B6" s="17" t="s">
        <v>4</v>
      </c>
      <c r="C6" s="17" t="s">
        <v>5</v>
      </c>
      <c r="D6" s="17" t="s">
        <v>6</v>
      </c>
    </row>
    <row r="7" spans="1:4" x14ac:dyDescent="0.3">
      <c r="B7" s="1">
        <v>1</v>
      </c>
      <c r="C7" s="1">
        <v>3.5</v>
      </c>
      <c r="D7" s="2">
        <f>POWER((C7-$C$17),2)</f>
        <v>2.7039999999999586E-3</v>
      </c>
    </row>
    <row r="8" spans="1:4" x14ac:dyDescent="0.3">
      <c r="B8" s="1">
        <f>1+B7</f>
        <v>2</v>
      </c>
      <c r="C8" s="1">
        <v>3.4</v>
      </c>
      <c r="D8" s="2">
        <f t="shared" ref="D8:D16" si="0">POWER((C8-$C$17),2)</f>
        <v>2.3040000000000469E-3</v>
      </c>
    </row>
    <row r="9" spans="1:4" x14ac:dyDescent="0.3">
      <c r="B9" s="1">
        <f t="shared" ref="B9:B16" si="1">1+B8</f>
        <v>3</v>
      </c>
      <c r="C9" s="3">
        <v>3.42</v>
      </c>
      <c r="D9" s="2">
        <f t="shared" si="0"/>
        <v>7.8400000000002621E-4</v>
      </c>
    </row>
    <row r="10" spans="1:4" x14ac:dyDescent="0.3">
      <c r="B10" s="1">
        <f t="shared" si="1"/>
        <v>4</v>
      </c>
      <c r="C10" s="1">
        <v>3.41</v>
      </c>
      <c r="D10" s="2">
        <f t="shared" si="0"/>
        <v>1.4440000000000195E-3</v>
      </c>
    </row>
    <row r="11" spans="1:4" x14ac:dyDescent="0.3">
      <c r="B11" s="1">
        <f t="shared" si="1"/>
        <v>5</v>
      </c>
      <c r="C11" s="3">
        <v>3.5</v>
      </c>
      <c r="D11" s="2">
        <f t="shared" si="0"/>
        <v>2.7039999999999586E-3</v>
      </c>
    </row>
    <row r="12" spans="1:4" x14ac:dyDescent="0.3">
      <c r="B12" s="1">
        <f t="shared" si="1"/>
        <v>6</v>
      </c>
      <c r="C12" s="3">
        <v>3.6</v>
      </c>
      <c r="D12" s="2">
        <f t="shared" si="0"/>
        <v>2.3103999999999906E-2</v>
      </c>
    </row>
    <row r="13" spans="1:4" x14ac:dyDescent="0.3">
      <c r="B13" s="1">
        <f t="shared" si="1"/>
        <v>7</v>
      </c>
      <c r="C13" s="3">
        <v>3.4</v>
      </c>
      <c r="D13" s="2">
        <f t="shared" si="0"/>
        <v>2.3040000000000469E-3</v>
      </c>
    </row>
    <row r="14" spans="1:4" x14ac:dyDescent="0.3">
      <c r="B14" s="1">
        <f t="shared" si="1"/>
        <v>8</v>
      </c>
      <c r="C14" s="1">
        <v>3.41</v>
      </c>
      <c r="D14" s="2">
        <f t="shared" si="0"/>
        <v>1.4440000000000195E-3</v>
      </c>
    </row>
    <row r="15" spans="1:4" x14ac:dyDescent="0.3">
      <c r="B15" s="1">
        <f t="shared" si="1"/>
        <v>9</v>
      </c>
      <c r="C15" s="1">
        <v>3.42</v>
      </c>
      <c r="D15" s="2">
        <f t="shared" si="0"/>
        <v>7.8400000000002621E-4</v>
      </c>
    </row>
    <row r="16" spans="1:4" x14ac:dyDescent="0.3">
      <c r="B16" s="1">
        <f t="shared" si="1"/>
        <v>10</v>
      </c>
      <c r="C16" s="1">
        <v>3.42</v>
      </c>
      <c r="D16" s="2">
        <f t="shared" si="0"/>
        <v>7.8400000000002621E-4</v>
      </c>
    </row>
    <row r="17" spans="2:6" ht="15.6" x14ac:dyDescent="0.3">
      <c r="B17" s="16" t="s">
        <v>7</v>
      </c>
      <c r="C17" s="4">
        <f>AVERAGE(C7:C16)</f>
        <v>3.4480000000000004</v>
      </c>
      <c r="D17" s="5">
        <f>SUM(D7:D16)</f>
        <v>3.836000000000004E-2</v>
      </c>
    </row>
    <row r="19" spans="2:6" ht="15.6" x14ac:dyDescent="0.3">
      <c r="C19" s="16" t="s">
        <v>8</v>
      </c>
      <c r="D19" s="4">
        <f>SQRT((D17/(9*10)))</f>
        <v>2.0645150089602708E-2</v>
      </c>
    </row>
    <row r="20" spans="2:6" ht="15.6" x14ac:dyDescent="0.3">
      <c r="C20" s="16" t="s">
        <v>9</v>
      </c>
      <c r="D20" s="6">
        <f>_xlfn.STDEV.S(C7:C16)/SQRT(10)</f>
        <v>2.0645150089602705E-2</v>
      </c>
      <c r="E20" t="s">
        <v>10</v>
      </c>
      <c r="F20">
        <v>3.14</v>
      </c>
    </row>
    <row r="23" spans="2:6" ht="15.6" x14ac:dyDescent="0.3">
      <c r="B23" s="16" t="s">
        <v>32</v>
      </c>
      <c r="C23" s="6">
        <f>C17</f>
        <v>3.4480000000000004</v>
      </c>
      <c r="D23" s="7" t="s">
        <v>11</v>
      </c>
      <c r="E23" s="6">
        <f>D19</f>
        <v>2.0645150089602708E-2</v>
      </c>
    </row>
    <row r="24" spans="2:6" ht="15.6" x14ac:dyDescent="0.3">
      <c r="C24" s="16" t="s">
        <v>12</v>
      </c>
      <c r="D24" s="18"/>
      <c r="E24" s="16" t="s">
        <v>13</v>
      </c>
    </row>
    <row r="27" spans="2:6" ht="15.6" x14ac:dyDescent="0.3">
      <c r="B27" s="16" t="s">
        <v>14</v>
      </c>
      <c r="D27" t="s">
        <v>15</v>
      </c>
      <c r="E27" s="4">
        <f>3.14*POWER((C23/2),2)</f>
        <v>9.3326326400000017</v>
      </c>
      <c r="F27" t="s">
        <v>16</v>
      </c>
    </row>
    <row r="29" spans="2:6" ht="15.6" x14ac:dyDescent="0.3">
      <c r="B29" s="16" t="s">
        <v>17</v>
      </c>
      <c r="C29" s="9">
        <f>ABS(C23)*SQRT(POWER((E23/C23),2))</f>
        <v>2.0645150089602708E-2</v>
      </c>
    </row>
    <row r="34" spans="1:7" ht="15.6" x14ac:dyDescent="0.3">
      <c r="B34" s="17" t="s">
        <v>4</v>
      </c>
      <c r="C34" s="17" t="s">
        <v>18</v>
      </c>
      <c r="D34" s="17" t="s">
        <v>19</v>
      </c>
      <c r="E34" s="17" t="s">
        <v>20</v>
      </c>
      <c r="F34" s="17" t="s">
        <v>21</v>
      </c>
      <c r="G34" s="15"/>
    </row>
    <row r="35" spans="1:7" x14ac:dyDescent="0.3">
      <c r="B35" s="1">
        <v>1</v>
      </c>
      <c r="C35" s="1">
        <v>3.55</v>
      </c>
      <c r="D35" s="1">
        <v>3.54</v>
      </c>
      <c r="E35" s="10">
        <v>3.55</v>
      </c>
      <c r="F35" s="10">
        <v>3.48</v>
      </c>
    </row>
    <row r="36" spans="1:7" x14ac:dyDescent="0.3">
      <c r="B36" s="1">
        <f>1+B35</f>
        <v>2</v>
      </c>
      <c r="C36" s="1">
        <v>3.54</v>
      </c>
      <c r="D36" s="1">
        <v>3.53</v>
      </c>
      <c r="E36" s="10">
        <v>3.54</v>
      </c>
      <c r="F36" s="10">
        <v>3.49</v>
      </c>
    </row>
    <row r="37" spans="1:7" x14ac:dyDescent="0.3">
      <c r="B37" s="1">
        <f t="shared" ref="B37:B44" si="2">1+B36</f>
        <v>3</v>
      </c>
      <c r="C37" s="1">
        <v>3.53</v>
      </c>
      <c r="D37" s="1">
        <v>3.49</v>
      </c>
      <c r="E37" s="10">
        <v>3.53</v>
      </c>
      <c r="F37" s="10">
        <v>3.5</v>
      </c>
    </row>
    <row r="38" spans="1:7" x14ac:dyDescent="0.3">
      <c r="B38" s="1">
        <f t="shared" si="2"/>
        <v>4</v>
      </c>
      <c r="C38" s="1">
        <v>3.48</v>
      </c>
      <c r="D38" s="1">
        <v>3.49</v>
      </c>
      <c r="E38" s="10">
        <v>3.55</v>
      </c>
      <c r="F38" s="10">
        <v>3.51</v>
      </c>
    </row>
    <row r="39" spans="1:7" x14ac:dyDescent="0.3">
      <c r="B39" s="1">
        <f t="shared" si="2"/>
        <v>5</v>
      </c>
      <c r="C39" s="1">
        <v>3.45</v>
      </c>
      <c r="D39" s="1">
        <v>3.48</v>
      </c>
      <c r="E39" s="10">
        <v>3.48</v>
      </c>
      <c r="F39" s="10">
        <v>3.52</v>
      </c>
    </row>
    <row r="40" spans="1:7" x14ac:dyDescent="0.3">
      <c r="B40" s="1">
        <f t="shared" si="2"/>
        <v>6</v>
      </c>
      <c r="C40" s="1">
        <v>3.46</v>
      </c>
      <c r="D40" s="1">
        <v>3.45</v>
      </c>
      <c r="E40" s="10">
        <v>3.43</v>
      </c>
      <c r="F40" s="10">
        <v>3.51</v>
      </c>
    </row>
    <row r="41" spans="1:7" x14ac:dyDescent="0.3">
      <c r="B41" s="1">
        <f t="shared" si="2"/>
        <v>7</v>
      </c>
      <c r="C41" s="1">
        <v>3.47</v>
      </c>
      <c r="D41" s="3">
        <v>3.5</v>
      </c>
      <c r="E41" s="10">
        <v>3.48</v>
      </c>
      <c r="F41" s="10">
        <v>3.51</v>
      </c>
    </row>
    <row r="42" spans="1:7" x14ac:dyDescent="0.3">
      <c r="B42" s="1">
        <f t="shared" si="2"/>
        <v>8</v>
      </c>
      <c r="C42" s="1">
        <v>3.49</v>
      </c>
      <c r="D42" s="1">
        <v>3.51</v>
      </c>
      <c r="E42" s="10">
        <v>3.56</v>
      </c>
      <c r="F42" s="10">
        <v>3.49</v>
      </c>
    </row>
    <row r="43" spans="1:7" x14ac:dyDescent="0.3">
      <c r="B43" s="1">
        <f t="shared" si="2"/>
        <v>9</v>
      </c>
      <c r="C43" s="3">
        <v>3.5</v>
      </c>
      <c r="D43" s="1">
        <v>3.52</v>
      </c>
      <c r="E43" s="10">
        <v>3.57</v>
      </c>
      <c r="F43" s="10">
        <v>3.49</v>
      </c>
    </row>
    <row r="44" spans="1:7" x14ac:dyDescent="0.3">
      <c r="B44" s="1">
        <f t="shared" si="2"/>
        <v>10</v>
      </c>
      <c r="C44" s="1">
        <v>3.51</v>
      </c>
      <c r="D44" s="1">
        <v>3.55</v>
      </c>
      <c r="E44" s="10">
        <v>3.48</v>
      </c>
      <c r="F44" s="10">
        <v>3.48</v>
      </c>
    </row>
    <row r="45" spans="1:7" ht="15.6" x14ac:dyDescent="0.3">
      <c r="B45" s="16" t="s">
        <v>7</v>
      </c>
      <c r="C45">
        <v>2.0299999999999998</v>
      </c>
      <c r="D45">
        <v>2.0499999999999998</v>
      </c>
      <c r="E45">
        <v>2.06</v>
      </c>
      <c r="F45">
        <v>2.0099999999999998</v>
      </c>
    </row>
    <row r="46" spans="1:7" ht="15.6" x14ac:dyDescent="0.3">
      <c r="B46" s="16" t="s">
        <v>22</v>
      </c>
      <c r="C46" s="11">
        <v>0.02</v>
      </c>
      <c r="D46" s="11">
        <v>0.01</v>
      </c>
      <c r="E46" s="11">
        <v>0</v>
      </c>
      <c r="F46" s="11">
        <v>0.03</v>
      </c>
    </row>
    <row r="48" spans="1:7" ht="15.6" x14ac:dyDescent="0.3">
      <c r="A48" s="16" t="s">
        <v>12</v>
      </c>
      <c r="B48" s="16" t="s">
        <v>23</v>
      </c>
      <c r="C48">
        <f>C45+D45+E45+F45</f>
        <v>8.15</v>
      </c>
    </row>
    <row r="49" spans="1:5" ht="15.6" x14ac:dyDescent="0.3">
      <c r="B49" s="16" t="s">
        <v>22</v>
      </c>
      <c r="C49" s="12">
        <f>SQRT((POWER(C46,2))+(POWER(D46,2))+(POWER(E46,2))+(POWER(F46,2)))</f>
        <v>3.7416573867739417E-2</v>
      </c>
    </row>
    <row r="53" spans="1:5" x14ac:dyDescent="0.3">
      <c r="A53" s="13" t="s">
        <v>31</v>
      </c>
      <c r="B53" s="13"/>
    </row>
    <row r="54" spans="1:5" x14ac:dyDescent="0.3">
      <c r="A54" s="8" t="s">
        <v>30</v>
      </c>
      <c r="B54" t="s">
        <v>24</v>
      </c>
      <c r="C54" t="s">
        <v>25</v>
      </c>
    </row>
    <row r="55" spans="1:5" x14ac:dyDescent="0.3">
      <c r="A55" s="8" t="s">
        <v>30</v>
      </c>
      <c r="B55" t="s">
        <v>24</v>
      </c>
      <c r="C55" s="14">
        <f>5/10</f>
        <v>0.5</v>
      </c>
    </row>
    <row r="56" spans="1:5" x14ac:dyDescent="0.3">
      <c r="A56" s="8"/>
    </row>
    <row r="57" spans="1:5" x14ac:dyDescent="0.3">
      <c r="A57" s="8" t="s">
        <v>13</v>
      </c>
      <c r="B57" s="14">
        <f>SQRT((C55/(9*10)))</f>
        <v>7.4535599249992993E-2</v>
      </c>
    </row>
    <row r="60" spans="1:5" x14ac:dyDescent="0.3">
      <c r="A60" s="13" t="s">
        <v>26</v>
      </c>
      <c r="B60" s="13"/>
    </row>
    <row r="61" spans="1:5" ht="15.6" x14ac:dyDescent="0.3">
      <c r="A61" s="19" t="s">
        <v>27</v>
      </c>
      <c r="B61" s="19" t="s">
        <v>28</v>
      </c>
    </row>
    <row r="62" spans="1:5" x14ac:dyDescent="0.3">
      <c r="A62" s="20">
        <v>1</v>
      </c>
      <c r="B62" s="20">
        <v>0.39300000000000002</v>
      </c>
      <c r="D62" s="8" t="s">
        <v>7</v>
      </c>
      <c r="E62">
        <f>AVERAGE(B62:B71)</f>
        <v>0.40280000000000005</v>
      </c>
    </row>
    <row r="63" spans="1:5" x14ac:dyDescent="0.3">
      <c r="A63" s="20">
        <v>2</v>
      </c>
      <c r="B63" s="20">
        <v>0.39500000000000002</v>
      </c>
      <c r="D63" s="8" t="s">
        <v>22</v>
      </c>
      <c r="E63">
        <f>SQRT((E62/(9*10)))</f>
        <v>6.6899593089611215E-2</v>
      </c>
    </row>
    <row r="64" spans="1:5" x14ac:dyDescent="0.3">
      <c r="A64" s="20">
        <v>3</v>
      </c>
      <c r="B64" s="20">
        <v>0.38700000000000001</v>
      </c>
    </row>
    <row r="65" spans="1:2" x14ac:dyDescent="0.3">
      <c r="A65" s="20">
        <v>4</v>
      </c>
      <c r="B65" s="20">
        <v>0.4</v>
      </c>
    </row>
    <row r="66" spans="1:2" x14ac:dyDescent="0.3">
      <c r="A66" s="20">
        <v>5</v>
      </c>
      <c r="B66" s="20">
        <v>0.39900000000000002</v>
      </c>
    </row>
    <row r="67" spans="1:2" x14ac:dyDescent="0.3">
      <c r="A67" s="20">
        <v>6</v>
      </c>
      <c r="B67" s="20">
        <v>0.41799999999999998</v>
      </c>
    </row>
    <row r="68" spans="1:2" x14ac:dyDescent="0.3">
      <c r="A68" s="20">
        <v>7</v>
      </c>
      <c r="B68" s="20">
        <v>0.40899999999999997</v>
      </c>
    </row>
    <row r="69" spans="1:2" x14ac:dyDescent="0.3">
      <c r="A69" s="20">
        <v>8</v>
      </c>
      <c r="B69" s="20">
        <v>0.41499999999999998</v>
      </c>
    </row>
    <row r="70" spans="1:2" x14ac:dyDescent="0.3">
      <c r="A70" s="20">
        <v>9</v>
      </c>
      <c r="B70" s="20">
        <v>0.40699999999999997</v>
      </c>
    </row>
    <row r="71" spans="1:2" x14ac:dyDescent="0.3">
      <c r="A71" s="20">
        <v>10</v>
      </c>
      <c r="B71" s="20">
        <v>0.40500000000000003</v>
      </c>
    </row>
  </sheetData>
  <mergeCells count="2">
    <mergeCell ref="A53:B53"/>
    <mergeCell ref="A60:B6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Sajvin</dc:creator>
  <cp:lastModifiedBy>Daniel Sajvin</cp:lastModifiedBy>
  <dcterms:created xsi:type="dcterms:W3CDTF">2021-09-10T16:04:15Z</dcterms:created>
  <dcterms:modified xsi:type="dcterms:W3CDTF">2021-09-10T16:23:22Z</dcterms:modified>
</cp:coreProperties>
</file>