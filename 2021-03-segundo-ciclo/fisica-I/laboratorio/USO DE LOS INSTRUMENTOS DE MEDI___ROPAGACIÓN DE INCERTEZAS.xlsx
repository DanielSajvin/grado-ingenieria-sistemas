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Sajvin\Desktop\"/>
    </mc:Choice>
  </mc:AlternateContent>
  <xr:revisionPtr revIDLastSave="0" documentId="8_{7B7D675C-7E50-4DD9-AC4A-EF95E9EFE297}" xr6:coauthVersionLast="47" xr6:coauthVersionMax="47" xr10:uidLastSave="{00000000-0000-0000-0000-000000000000}"/>
  <bookViews>
    <workbookView xWindow="-108" yWindow="-108" windowWidth="23256" windowHeight="13176" xr2:uid="{D7A80B94-0E69-480B-9BD5-FBF55FCF11A4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2" l="1"/>
  <c r="K22" i="2" s="1"/>
  <c r="N14" i="2"/>
  <c r="K14" i="2"/>
  <c r="N13" i="2"/>
  <c r="K13" i="2"/>
  <c r="N12" i="2"/>
  <c r="K12" i="2"/>
</calcChain>
</file>

<file path=xl/sharedStrings.xml><?xml version="1.0" encoding="utf-8"?>
<sst xmlns="http://schemas.openxmlformats.org/spreadsheetml/2006/main" count="74" uniqueCount="55">
  <si>
    <t>Astronauta</t>
  </si>
  <si>
    <t>Espada</t>
  </si>
  <si>
    <t>Torre</t>
  </si>
  <si>
    <t>Incertidumbre</t>
  </si>
  <si>
    <t>Disco</t>
  </si>
  <si>
    <t>Instrumento</t>
  </si>
  <si>
    <t>Diámetro moneda Q.0.50</t>
  </si>
  <si>
    <t>Diámetro moneda Q.0.25</t>
  </si>
  <si>
    <t>Diámetro moneda Q.1.00</t>
  </si>
  <si>
    <t>Calibrador Vernier Virtual</t>
  </si>
  <si>
    <t>Regla graduada</t>
  </si>
  <si>
    <t>Diámetro oficial de las monedas</t>
  </si>
  <si>
    <t xml:space="preserve">Carné: </t>
  </si>
  <si>
    <t>Mario Daniel Sajvin Gómez</t>
  </si>
  <si>
    <t>a) ¿La balanza granataria mide masa o peso?</t>
  </si>
  <si>
    <t>b) ¿Qué diferencia hay entre masa y peso?</t>
  </si>
  <si>
    <t>c) ¿Qué paso obvió el presentador del vídeo al realizar las mediciones con la balanza?</t>
  </si>
  <si>
    <t>Lo que mide es masa</t>
  </si>
  <si>
    <t>La masa es una porción de materia y el peso es una fuerza</t>
  </si>
  <si>
    <t>Practica No.2 -- Mediciones</t>
  </si>
  <si>
    <t>Preguntas:</t>
  </si>
  <si>
    <t xml:space="preserve">Sección 1 </t>
  </si>
  <si>
    <t xml:space="preserve">Sección 2 </t>
  </si>
  <si>
    <t>Balanza Granataria</t>
  </si>
  <si>
    <t>Calibrador Vernier</t>
  </si>
  <si>
    <t>Tabla 1 Datos Simulador:</t>
  </si>
  <si>
    <t>Tabla 3 Datos Comparativos:</t>
  </si>
  <si>
    <t>Objetivos</t>
  </si>
  <si>
    <t>Erro de Calibrador Vernire Q0.25</t>
  </si>
  <si>
    <t>Erro de Regla Graduada Q0.25</t>
  </si>
  <si>
    <t>± 0.05</t>
  </si>
  <si>
    <t>Erro de Calibrador Vernire Q0.50</t>
  </si>
  <si>
    <t>Erro de Regla Graduada Q0.50</t>
  </si>
  <si>
    <t xml:space="preserve">Mounstro </t>
  </si>
  <si>
    <t>Incertidumbre Vernier</t>
  </si>
  <si>
    <t>± 0.025</t>
  </si>
  <si>
    <t>Erro de Calibrador Vernire Q1.00</t>
  </si>
  <si>
    <t>Erro de Regla Graduada Q1.00</t>
  </si>
  <si>
    <t>Incertidumbre Regla</t>
  </si>
  <si>
    <t>Molino</t>
  </si>
  <si>
    <t>Tabla 2 Datos Imagenes:</t>
  </si>
  <si>
    <t>Tabla 4 Datos Reales Imágenes:</t>
  </si>
  <si>
    <t xml:space="preserve">Medición </t>
  </si>
  <si>
    <t>Comparaciones</t>
  </si>
  <si>
    <t>Diametro Exterior</t>
  </si>
  <si>
    <t>Volumen</t>
  </si>
  <si>
    <t>Cilindro de Cobre</t>
  </si>
  <si>
    <t>Diametro interior</t>
  </si>
  <si>
    <t>Incerteza</t>
  </si>
  <si>
    <t>Grosor</t>
  </si>
  <si>
    <t xml:space="preserve">Nombre: </t>
  </si>
  <si>
    <t>→</t>
  </si>
  <si>
    <t>Que si no se usa correctamente la medida que se realice puede tener errores</t>
  </si>
  <si>
    <t>Objetos</t>
  </si>
  <si>
    <t>Masa(gm)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</si>
</sst>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theme="1"/>
      <name val="Bauhaus 93"/>
      <family val="5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361950</xdr:colOff>
      <xdr:row>19</xdr:row>
      <xdr:rowOff>185737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2F341DD-07A0-470A-B6AC-1853B726F183}"/>
            </a:ext>
          </a:extLst>
        </xdr:cNvPr>
        <xdr:cNvSpPr txBox="1"/>
      </xdr:nvSpPr>
      <xdr:spPr>
        <a:xfrm>
          <a:off x="5467350" y="514635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GT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6C13-925D-48FC-B549-E5C336A6919C}">
  <dimension ref="A1:N23"/>
  <sheetViews>
    <sheetView tabSelected="1" topLeftCell="A4" workbookViewId="0">
      <selection activeCell="J21" sqref="J21:J22"/>
    </sheetView>
  </sheetViews>
  <sheetFormatPr baseColWidth="10" defaultRowHeight="14.4" x14ac:dyDescent="0.3"/>
  <cols>
    <col min="1" max="1" width="17.77734375" customWidth="1"/>
    <col min="3" max="3" width="14" customWidth="1"/>
    <col min="5" max="5" width="14.77734375" customWidth="1"/>
    <col min="6" max="6" width="19.21875" customWidth="1"/>
    <col min="7" max="7" width="16" customWidth="1"/>
    <col min="8" max="8" width="14.33203125" customWidth="1"/>
    <col min="10" max="10" width="17.6640625" customWidth="1"/>
    <col min="13" max="13" width="16.33203125" customWidth="1"/>
  </cols>
  <sheetData>
    <row r="1" spans="1:14" ht="15.6" x14ac:dyDescent="0.3">
      <c r="A1" s="9" t="s">
        <v>50</v>
      </c>
      <c r="B1" s="9"/>
      <c r="C1" s="2" t="s">
        <v>13</v>
      </c>
      <c r="F1" s="3" t="s">
        <v>12</v>
      </c>
      <c r="G1">
        <v>1612921</v>
      </c>
    </row>
    <row r="2" spans="1:14" ht="18" x14ac:dyDescent="0.35">
      <c r="A2" s="10" t="s">
        <v>19</v>
      </c>
      <c r="B2" s="10"/>
      <c r="C2" s="10"/>
      <c r="D2" s="10"/>
      <c r="E2" s="10"/>
      <c r="F2" s="10"/>
      <c r="G2" s="10"/>
    </row>
    <row r="4" spans="1:14" ht="15.6" x14ac:dyDescent="0.3">
      <c r="A4" s="11" t="s">
        <v>20</v>
      </c>
    </row>
    <row r="5" spans="1:14" ht="28.8" x14ac:dyDescent="0.3">
      <c r="A5" s="5" t="s">
        <v>14</v>
      </c>
      <c r="B5" s="5"/>
      <c r="C5" s="5"/>
      <c r="D5" s="12" t="s">
        <v>51</v>
      </c>
      <c r="E5" s="6" t="s">
        <v>17</v>
      </c>
      <c r="F5" s="6"/>
      <c r="G5" s="6"/>
    </row>
    <row r="6" spans="1:14" ht="45" customHeight="1" x14ac:dyDescent="0.3">
      <c r="A6" s="5" t="s">
        <v>15</v>
      </c>
      <c r="B6" s="5"/>
      <c r="C6" s="5"/>
      <c r="D6" s="12" t="s">
        <v>51</v>
      </c>
      <c r="E6" s="4" t="s">
        <v>18</v>
      </c>
      <c r="F6" s="4"/>
      <c r="G6" s="6"/>
    </row>
    <row r="7" spans="1:14" ht="66" customHeight="1" x14ac:dyDescent="0.3">
      <c r="A7" s="5" t="s">
        <v>16</v>
      </c>
      <c r="B7" s="5"/>
      <c r="C7" s="5"/>
      <c r="D7" s="12" t="s">
        <v>51</v>
      </c>
      <c r="E7" s="4" t="s">
        <v>52</v>
      </c>
      <c r="F7" s="4"/>
      <c r="G7" s="6"/>
    </row>
    <row r="9" spans="1:14" ht="15.6" x14ac:dyDescent="0.3">
      <c r="A9" s="13" t="s">
        <v>21</v>
      </c>
      <c r="B9" s="13"/>
      <c r="C9" s="13"/>
      <c r="E9" s="13" t="s">
        <v>22</v>
      </c>
      <c r="F9" s="13"/>
      <c r="G9" s="13"/>
      <c r="H9" s="13"/>
    </row>
    <row r="10" spans="1:14" ht="15.6" x14ac:dyDescent="0.3">
      <c r="A10" s="13" t="s">
        <v>23</v>
      </c>
      <c r="B10" s="13"/>
      <c r="C10" s="13"/>
      <c r="E10" s="13" t="s">
        <v>24</v>
      </c>
      <c r="F10" s="13"/>
      <c r="G10" s="13"/>
      <c r="H10" s="13"/>
    </row>
    <row r="11" spans="1:14" ht="15.6" x14ac:dyDescent="0.3">
      <c r="A11" s="14" t="s">
        <v>25</v>
      </c>
      <c r="B11" s="14"/>
      <c r="C11" s="14"/>
      <c r="E11" s="14" t="s">
        <v>26</v>
      </c>
      <c r="F11" s="14"/>
      <c r="G11" s="14"/>
      <c r="H11" s="14"/>
    </row>
    <row r="12" spans="1:14" ht="48.6" x14ac:dyDescent="0.3">
      <c r="A12" s="15" t="s">
        <v>27</v>
      </c>
      <c r="B12" s="15" t="s">
        <v>54</v>
      </c>
      <c r="C12" s="15" t="s">
        <v>3</v>
      </c>
      <c r="E12" s="15" t="s">
        <v>5</v>
      </c>
      <c r="F12" s="16" t="s">
        <v>7</v>
      </c>
      <c r="G12" s="16" t="s">
        <v>6</v>
      </c>
      <c r="H12" s="16" t="s">
        <v>8</v>
      </c>
      <c r="J12" s="21" t="s">
        <v>28</v>
      </c>
      <c r="K12">
        <f>((F17-F13)/F17)*100</f>
        <v>-5551.8518518518522</v>
      </c>
      <c r="M12" s="21" t="s">
        <v>29</v>
      </c>
      <c r="N12">
        <f>((F17-F15)/F17)*100</f>
        <v>3.7037037037037068</v>
      </c>
    </row>
    <row r="13" spans="1:14" ht="46.8" x14ac:dyDescent="0.3">
      <c r="A13" s="15" t="s">
        <v>0</v>
      </c>
      <c r="B13" s="7">
        <v>225.2</v>
      </c>
      <c r="C13" s="7" t="s">
        <v>30</v>
      </c>
      <c r="E13" s="16" t="s">
        <v>9</v>
      </c>
      <c r="F13" s="7">
        <v>15.26</v>
      </c>
      <c r="G13" s="7">
        <v>13.86</v>
      </c>
      <c r="H13" s="7">
        <v>16.399999999999999</v>
      </c>
      <c r="J13" s="21" t="s">
        <v>31</v>
      </c>
      <c r="K13">
        <f>((G17-G13)/G17)*100</f>
        <v>-5675</v>
      </c>
      <c r="M13" s="21" t="s">
        <v>32</v>
      </c>
      <c r="N13">
        <f>((G17-G15)/G17)*100</f>
        <v>4.166666666666659</v>
      </c>
    </row>
    <row r="14" spans="1:14" ht="46.8" x14ac:dyDescent="0.3">
      <c r="A14" s="15" t="s">
        <v>33</v>
      </c>
      <c r="B14" s="7">
        <v>185.3</v>
      </c>
      <c r="C14" s="7" t="s">
        <v>30</v>
      </c>
      <c r="E14" s="16" t="s">
        <v>34</v>
      </c>
      <c r="F14" s="7" t="s">
        <v>35</v>
      </c>
      <c r="G14" s="7" t="s">
        <v>35</v>
      </c>
      <c r="H14" s="7" t="s">
        <v>35</v>
      </c>
      <c r="J14" s="21" t="s">
        <v>36</v>
      </c>
      <c r="K14">
        <f>((H17-H13)/H17)*100</f>
        <v>-5555.1724137931042</v>
      </c>
      <c r="M14" s="21" t="s">
        <v>37</v>
      </c>
      <c r="N14">
        <f>((H17-H15)/H17)*100</f>
        <v>0</v>
      </c>
    </row>
    <row r="15" spans="1:14" ht="16.2" x14ac:dyDescent="0.3">
      <c r="A15" s="15" t="s">
        <v>1</v>
      </c>
      <c r="B15" s="7">
        <v>607.79999999999995</v>
      </c>
      <c r="C15" s="7" t="s">
        <v>30</v>
      </c>
      <c r="E15" s="15" t="s">
        <v>10</v>
      </c>
      <c r="F15" s="7">
        <v>0.26</v>
      </c>
      <c r="G15" s="7">
        <v>0.23</v>
      </c>
      <c r="H15" s="7">
        <v>0.28999999999999998</v>
      </c>
    </row>
    <row r="16" spans="1:14" ht="32.4" x14ac:dyDescent="0.3">
      <c r="A16" s="15" t="s">
        <v>2</v>
      </c>
      <c r="B16" s="7">
        <v>205.7</v>
      </c>
      <c r="C16" s="7" t="s">
        <v>30</v>
      </c>
      <c r="E16" s="16" t="s">
        <v>38</v>
      </c>
      <c r="F16" s="7" t="s">
        <v>30</v>
      </c>
      <c r="G16" s="7" t="s">
        <v>30</v>
      </c>
      <c r="H16" s="7" t="s">
        <v>30</v>
      </c>
    </row>
    <row r="17" spans="1:11" ht="48.6" x14ac:dyDescent="0.3">
      <c r="A17" s="15" t="s">
        <v>39</v>
      </c>
      <c r="B17" s="7">
        <v>357.6</v>
      </c>
      <c r="C17" s="7" t="s">
        <v>30</v>
      </c>
      <c r="E17" s="16" t="s">
        <v>11</v>
      </c>
      <c r="F17" s="7">
        <v>0.27</v>
      </c>
      <c r="G17" s="7">
        <v>0.24</v>
      </c>
      <c r="H17" s="7">
        <v>0.28999999999999998</v>
      </c>
    </row>
    <row r="19" spans="1:11" ht="15.6" x14ac:dyDescent="0.3">
      <c r="A19" s="3" t="s">
        <v>40</v>
      </c>
      <c r="B19" s="3"/>
      <c r="E19" s="17" t="s">
        <v>41</v>
      </c>
      <c r="F19" s="17"/>
    </row>
    <row r="20" spans="1:11" ht="16.2" x14ac:dyDescent="0.35">
      <c r="A20" s="19" t="s">
        <v>53</v>
      </c>
      <c r="B20" s="19" t="s">
        <v>54</v>
      </c>
      <c r="C20" s="19" t="s">
        <v>3</v>
      </c>
      <c r="E20" s="1"/>
      <c r="F20" s="15" t="s">
        <v>42</v>
      </c>
      <c r="G20" s="15" t="s">
        <v>3</v>
      </c>
      <c r="H20" s="15" t="s">
        <v>43</v>
      </c>
    </row>
    <row r="21" spans="1:11" ht="32.4" x14ac:dyDescent="0.35">
      <c r="A21" s="18" t="s">
        <v>4</v>
      </c>
      <c r="B21" s="1">
        <v>127</v>
      </c>
      <c r="C21" s="1" t="s">
        <v>30</v>
      </c>
      <c r="E21" s="20" t="s">
        <v>44</v>
      </c>
      <c r="F21" s="1">
        <v>25.16</v>
      </c>
      <c r="G21" s="8" t="s">
        <v>35</v>
      </c>
      <c r="H21" s="1">
        <v>25.19</v>
      </c>
      <c r="J21" s="22" t="s">
        <v>45</v>
      </c>
      <c r="K21">
        <f>(3.1416*(F21-F22)*F23)/4</f>
        <v>24.770887680000001</v>
      </c>
    </row>
    <row r="22" spans="1:11" ht="32.4" x14ac:dyDescent="0.35">
      <c r="A22" s="18" t="s">
        <v>46</v>
      </c>
      <c r="B22" s="1">
        <v>67.8</v>
      </c>
      <c r="C22" s="1" t="s">
        <v>30</v>
      </c>
      <c r="E22" s="20" t="s">
        <v>47</v>
      </c>
      <c r="F22" s="1">
        <v>11.08</v>
      </c>
      <c r="G22" s="8" t="s">
        <v>35</v>
      </c>
      <c r="H22" s="1">
        <v>11.11</v>
      </c>
      <c r="J22" s="22" t="s">
        <v>48</v>
      </c>
      <c r="K22">
        <f>((3.1416*(H21-H22)*H23)/4)-K21</f>
        <v>0.33175296000000287</v>
      </c>
    </row>
    <row r="23" spans="1:11" ht="16.2" x14ac:dyDescent="0.35">
      <c r="E23" s="18" t="s">
        <v>49</v>
      </c>
      <c r="F23" s="1">
        <v>2.2400000000000002</v>
      </c>
      <c r="G23" s="8" t="s">
        <v>35</v>
      </c>
      <c r="H23" s="1">
        <v>2.27</v>
      </c>
    </row>
  </sheetData>
  <mergeCells count="14">
    <mergeCell ref="A9:C9"/>
    <mergeCell ref="E9:H9"/>
    <mergeCell ref="A10:C10"/>
    <mergeCell ref="E10:H10"/>
    <mergeCell ref="E19:F19"/>
    <mergeCell ref="A2:G2"/>
    <mergeCell ref="A11:C11"/>
    <mergeCell ref="E11:H11"/>
    <mergeCell ref="A1:B1"/>
    <mergeCell ref="A5:C5"/>
    <mergeCell ref="A6:C6"/>
    <mergeCell ref="E6:F6"/>
    <mergeCell ref="A7:C7"/>
    <mergeCell ref="E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Sajvin</dc:creator>
  <cp:lastModifiedBy>Daniel Sajvin</cp:lastModifiedBy>
  <dcterms:created xsi:type="dcterms:W3CDTF">2021-10-13T16:40:25Z</dcterms:created>
  <dcterms:modified xsi:type="dcterms:W3CDTF">2021-10-14T01:50:00Z</dcterms:modified>
</cp:coreProperties>
</file>