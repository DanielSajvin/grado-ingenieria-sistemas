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 Sajvin\Desktop\ESTADISTICA\"/>
    </mc:Choice>
  </mc:AlternateContent>
  <xr:revisionPtr revIDLastSave="0" documentId="13_ncr:1_{F01FC474-8157-47D8-863C-E64467CD9F3B}" xr6:coauthVersionLast="47" xr6:coauthVersionMax="47" xr10:uidLastSave="{00000000-0000-0000-0000-000000000000}"/>
  <bookViews>
    <workbookView xWindow="-108" yWindow="-108" windowWidth="23256" windowHeight="13176" xr2:uid="{387F7D78-9228-4759-9CF4-C9A9EB323884}"/>
  </bookViews>
  <sheets>
    <sheet name="Hoja5" sheetId="6" r:id="rId1"/>
    <sheet name="Tablas y Gráficas" sheetId="7" r:id="rId2"/>
    <sheet name="Base de dato" sheetId="1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1" l="1"/>
  <c r="D40" i="1"/>
  <c r="D39" i="1"/>
  <c r="D38" i="1"/>
  <c r="D37" i="1"/>
  <c r="D36" i="1"/>
</calcChain>
</file>

<file path=xl/sharedStrings.xml><?xml version="1.0" encoding="utf-8"?>
<sst xmlns="http://schemas.openxmlformats.org/spreadsheetml/2006/main" count="200" uniqueCount="32">
  <si>
    <t>Edad (años cumplidos)</t>
  </si>
  <si>
    <t>Carrera que estudia</t>
  </si>
  <si>
    <t>Usa azúcar en el café</t>
  </si>
  <si>
    <t>Estatura en centímetros</t>
  </si>
  <si>
    <t>¿Qué tan familiar es para usted el deporte?</t>
  </si>
  <si>
    <t>18 o menos</t>
  </si>
  <si>
    <t>Ingeniería industrial</t>
  </si>
  <si>
    <t>Sí</t>
  </si>
  <si>
    <t>Extremadamente familiarizado</t>
  </si>
  <si>
    <t>Ingeniería civil</t>
  </si>
  <si>
    <t>No toma café</t>
  </si>
  <si>
    <t>Muy familiarizado</t>
  </si>
  <si>
    <t>No</t>
  </si>
  <si>
    <t>Algo familiarizado</t>
  </si>
  <si>
    <t>Ingeniería en informática y sistemas</t>
  </si>
  <si>
    <t>No tan familiarizado</t>
  </si>
  <si>
    <t>22 o más</t>
  </si>
  <si>
    <t>Etiquetas de fila</t>
  </si>
  <si>
    <t>Total general</t>
  </si>
  <si>
    <t>f</t>
  </si>
  <si>
    <t>fr</t>
  </si>
  <si>
    <t xml:space="preserve">Total </t>
  </si>
  <si>
    <t>Total</t>
  </si>
  <si>
    <t>Cuenta de Carrera que estudia</t>
  </si>
  <si>
    <t>Familiaridad con el deporte</t>
  </si>
  <si>
    <t>Etiquetas de columna</t>
  </si>
  <si>
    <t xml:space="preserve">Media </t>
  </si>
  <si>
    <t>Moda</t>
  </si>
  <si>
    <t>Mediana</t>
  </si>
  <si>
    <t>Rango</t>
  </si>
  <si>
    <t>Varianza</t>
  </si>
  <si>
    <t>Desviación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</si>
</sst>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2" xfId="0" applyFill="1" applyBorder="1"/>
    <xf numFmtId="2" fontId="0" fillId="3" borderId="3" xfId="0" applyNumberFormat="1" applyFill="1" applyBorder="1"/>
    <xf numFmtId="0" fontId="0" fillId="3" borderId="4" xfId="0" applyFill="1" applyBorder="1"/>
    <xf numFmtId="2" fontId="0" fillId="3" borderId="5" xfId="0" applyNumberFormat="1" applyFill="1" applyBorder="1"/>
    <xf numFmtId="0" fontId="0" fillId="4" borderId="4" xfId="0" applyFill="1" applyBorder="1"/>
    <xf numFmtId="2" fontId="0" fillId="4" borderId="5" xfId="0" applyNumberFormat="1" applyFill="1" applyBorder="1"/>
    <xf numFmtId="0" fontId="0" fillId="4" borderId="6" xfId="0" applyFill="1" applyBorder="1"/>
    <xf numFmtId="2" fontId="0" fillId="4" borderId="7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/>
              <a:t>Edad (años cumplidos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y Gráficas'!$A$2:$A$6</c:f>
              <c:strCache>
                <c:ptCount val="5"/>
                <c:pt idx="0">
                  <c:v>18 o menos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 o más</c:v>
                </c:pt>
              </c:strCache>
            </c:strRef>
          </c:cat>
          <c:val>
            <c:numRef>
              <c:f>'Tablas y Gráficas'!$B$2:$B$6</c:f>
              <c:numCache>
                <c:formatCode>General</c:formatCode>
                <c:ptCount val="5"/>
                <c:pt idx="0">
                  <c:v>16</c:v>
                </c:pt>
                <c:pt idx="1">
                  <c:v>9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A2-4079-966F-F25600547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5818928"/>
        <c:axId val="1135818096"/>
      </c:barChart>
      <c:catAx>
        <c:axId val="113581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135818096"/>
        <c:crosses val="autoZero"/>
        <c:auto val="1"/>
        <c:lblAlgn val="ctr"/>
        <c:lblOffset val="100"/>
        <c:noMultiLvlLbl val="0"/>
      </c:catAx>
      <c:valAx>
        <c:axId val="113581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13581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/>
              <a:t>Carrera</a:t>
            </a:r>
            <a:r>
              <a:rPr lang="es-GT" baseline="0"/>
              <a:t> que estudia</a:t>
            </a:r>
            <a:endParaRPr lang="es-G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y Gráficas'!$E$2:$E$4</c:f>
              <c:strCache>
                <c:ptCount val="3"/>
                <c:pt idx="0">
                  <c:v>Ingeniería civil</c:v>
                </c:pt>
                <c:pt idx="1">
                  <c:v>Ingeniería en informática y sistemas</c:v>
                </c:pt>
                <c:pt idx="2">
                  <c:v>Ingeniería industrial</c:v>
                </c:pt>
              </c:strCache>
            </c:strRef>
          </c:cat>
          <c:val>
            <c:numRef>
              <c:f>'Tablas y Gráficas'!$F$2:$F$4</c:f>
              <c:numCache>
                <c:formatCode>General</c:formatCode>
                <c:ptCount val="3"/>
                <c:pt idx="0">
                  <c:v>11</c:v>
                </c:pt>
                <c:pt idx="1">
                  <c:v>6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7D-40D2-B34F-75739FE78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7401440"/>
        <c:axId val="1437402272"/>
      </c:barChart>
      <c:catAx>
        <c:axId val="143740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437402272"/>
        <c:crosses val="autoZero"/>
        <c:auto val="1"/>
        <c:lblAlgn val="ctr"/>
        <c:lblOffset val="100"/>
        <c:noMultiLvlLbl val="0"/>
      </c:catAx>
      <c:valAx>
        <c:axId val="143740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43740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/>
              <a:t>Usa azúcar en el café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y Gráficas'!$A$11:$A$13</c:f>
              <c:strCache>
                <c:ptCount val="3"/>
                <c:pt idx="0">
                  <c:v>Sí</c:v>
                </c:pt>
                <c:pt idx="1">
                  <c:v>No</c:v>
                </c:pt>
                <c:pt idx="2">
                  <c:v>No toma café</c:v>
                </c:pt>
              </c:strCache>
            </c:strRef>
          </c:cat>
          <c:val>
            <c:numRef>
              <c:f>'Tablas y Gráficas'!$B$11:$B$13</c:f>
              <c:numCache>
                <c:formatCode>General</c:formatCode>
                <c:ptCount val="3"/>
                <c:pt idx="0">
                  <c:v>20</c:v>
                </c:pt>
                <c:pt idx="1">
                  <c:v>10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8-44A7-B61F-979571660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9581424"/>
        <c:axId val="1499580592"/>
      </c:barChart>
      <c:catAx>
        <c:axId val="149958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499580592"/>
        <c:crosses val="autoZero"/>
        <c:auto val="1"/>
        <c:lblAlgn val="ctr"/>
        <c:lblOffset val="100"/>
        <c:noMultiLvlLbl val="0"/>
      </c:catAx>
      <c:valAx>
        <c:axId val="149958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49958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/>
              <a:t>Estatuta en centímetros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'Tablas y Gráficas'!$E$11:$E$27</c:f>
              <c:numCache>
                <c:formatCode>General</c:formatCode>
                <c:ptCount val="17"/>
                <c:pt idx="0">
                  <c:v>154</c:v>
                </c:pt>
                <c:pt idx="1">
                  <c:v>159</c:v>
                </c:pt>
                <c:pt idx="2">
                  <c:v>160</c:v>
                </c:pt>
                <c:pt idx="3">
                  <c:v>163</c:v>
                </c:pt>
                <c:pt idx="4">
                  <c:v>165</c:v>
                </c:pt>
                <c:pt idx="5">
                  <c:v>167</c:v>
                </c:pt>
                <c:pt idx="6">
                  <c:v>168</c:v>
                </c:pt>
                <c:pt idx="7">
                  <c:v>169</c:v>
                </c:pt>
                <c:pt idx="8">
                  <c:v>170</c:v>
                </c:pt>
                <c:pt idx="9">
                  <c:v>171</c:v>
                </c:pt>
                <c:pt idx="10">
                  <c:v>174</c:v>
                </c:pt>
                <c:pt idx="11">
                  <c:v>175</c:v>
                </c:pt>
                <c:pt idx="12">
                  <c:v>176</c:v>
                </c:pt>
                <c:pt idx="13">
                  <c:v>179</c:v>
                </c:pt>
                <c:pt idx="14">
                  <c:v>180</c:v>
                </c:pt>
                <c:pt idx="15">
                  <c:v>185</c:v>
                </c:pt>
                <c:pt idx="16">
                  <c:v>186</c:v>
                </c:pt>
              </c:numCache>
            </c:numRef>
          </c:cat>
          <c:val>
            <c:numRef>
              <c:f>'Tablas y Gráficas'!$F$11:$F$27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6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5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1-4171-B082-383BFECCE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7441616"/>
        <c:axId val="1127440784"/>
      </c:barChart>
      <c:catAx>
        <c:axId val="112744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127440784"/>
        <c:crosses val="autoZero"/>
        <c:auto val="1"/>
        <c:lblAlgn val="ctr"/>
        <c:lblOffset val="100"/>
        <c:noMultiLvlLbl val="0"/>
      </c:catAx>
      <c:valAx>
        <c:axId val="112744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12744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/>
              <a:t>Familiaridad con el deporte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y Gráficas'!$A$31:$A$34</c:f>
              <c:strCache>
                <c:ptCount val="4"/>
                <c:pt idx="0">
                  <c:v>Extremadamente familiarizado</c:v>
                </c:pt>
                <c:pt idx="1">
                  <c:v>Muy familiarizado</c:v>
                </c:pt>
                <c:pt idx="2">
                  <c:v>Algo familiarizado</c:v>
                </c:pt>
                <c:pt idx="3">
                  <c:v>No tan familiarizado</c:v>
                </c:pt>
              </c:strCache>
            </c:strRef>
          </c:cat>
          <c:val>
            <c:numRef>
              <c:f>'Tablas y Gráficas'!$B$31:$B$34</c:f>
              <c:numCache>
                <c:formatCode>General</c:formatCode>
                <c:ptCount val="4"/>
                <c:pt idx="0">
                  <c:v>9</c:v>
                </c:pt>
                <c:pt idx="1">
                  <c:v>16</c:v>
                </c:pt>
                <c:pt idx="2">
                  <c:v>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9D-45BE-B0F9-4C89C0C16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6600416"/>
        <c:axId val="1816602912"/>
      </c:barChart>
      <c:catAx>
        <c:axId val="181660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816602912"/>
        <c:crosses val="autoZero"/>
        <c:auto val="1"/>
        <c:lblAlgn val="ctr"/>
        <c:lblOffset val="100"/>
        <c:noMultiLvlLbl val="0"/>
      </c:catAx>
      <c:valAx>
        <c:axId val="181660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81660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7</xdr:row>
      <xdr:rowOff>11430</xdr:rowOff>
    </xdr:from>
    <xdr:to>
      <xdr:col>12</xdr:col>
      <xdr:colOff>190500</xdr:colOff>
      <xdr:row>19</xdr:row>
      <xdr:rowOff>179070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09DC337-A0DC-4EC1-9B7B-82B71FE80B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20</xdr:row>
      <xdr:rowOff>179070</xdr:rowOff>
    </xdr:from>
    <xdr:to>
      <xdr:col>12</xdr:col>
      <xdr:colOff>190500</xdr:colOff>
      <xdr:row>34</xdr:row>
      <xdr:rowOff>148590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D07E795-06E5-4964-AFDA-4832EB234E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762000</xdr:colOff>
      <xdr:row>6</xdr:row>
      <xdr:rowOff>179070</xdr:rowOff>
    </xdr:from>
    <xdr:to>
      <xdr:col>18</xdr:col>
      <xdr:colOff>579120</xdr:colOff>
      <xdr:row>19</xdr:row>
      <xdr:rowOff>148590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837859D-F97C-4DE9-8F19-1EEFDA346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762000</xdr:colOff>
      <xdr:row>21</xdr:row>
      <xdr:rowOff>3810</xdr:rowOff>
    </xdr:from>
    <xdr:to>
      <xdr:col>18</xdr:col>
      <xdr:colOff>579120</xdr:colOff>
      <xdr:row>34</xdr:row>
      <xdr:rowOff>171450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071425-4799-49E7-895C-CFBE3FCCE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670560</xdr:colOff>
      <xdr:row>35</xdr:row>
      <xdr:rowOff>186690</xdr:rowOff>
    </xdr:from>
    <xdr:to>
      <xdr:col>15</xdr:col>
      <xdr:colOff>487680</xdr:colOff>
      <xdr:row>49</xdr:row>
      <xdr:rowOff>156210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2AA1091-9C57-4192-9BE6-217A331F50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Sajvin" refreshedDate="44586.532540162036" createdVersion="7" refreshedVersion="7" minRefreshableVersion="3" recordCount="33" xr:uid="{0982DA0C-60CA-455E-A971-F7827F415D72}">
  <cacheSource type="worksheet">
    <worksheetSource ref="A1:E34" sheet="Base de dato"/>
  </cacheSource>
  <cacheFields count="5">
    <cacheField name="Edad (años cumplidos)" numFmtId="0">
      <sharedItems containsMixedTypes="1" containsNumber="1" containsInteger="1" minValue="19" maxValue="21" count="5">
        <s v="18 o menos"/>
        <n v="19"/>
        <n v="20"/>
        <n v="21"/>
        <s v="22 o más"/>
      </sharedItems>
    </cacheField>
    <cacheField name="Carrera que estudia" numFmtId="0">
      <sharedItems count="3">
        <s v="Ingeniería industrial"/>
        <s v="Ingeniería civil"/>
        <s v="Ingeniería en informática y sistemas"/>
      </sharedItems>
    </cacheField>
    <cacheField name="Usa azúcar en el café" numFmtId="0">
      <sharedItems count="3">
        <s v="Sí"/>
        <s v="No toma café"/>
        <s v="No"/>
      </sharedItems>
    </cacheField>
    <cacheField name="Estatura en centímetros" numFmtId="0">
      <sharedItems containsSemiMixedTypes="0" containsString="0" containsNumber="1" containsInteger="1" minValue="154" maxValue="186" count="17">
        <n v="160"/>
        <n v="163"/>
        <n v="167"/>
        <n v="165"/>
        <n v="159"/>
        <n v="175"/>
        <n v="171"/>
        <n v="174"/>
        <n v="170"/>
        <n v="180"/>
        <n v="179"/>
        <n v="154"/>
        <n v="176"/>
        <n v="186"/>
        <n v="168"/>
        <n v="185"/>
        <n v="169"/>
      </sharedItems>
    </cacheField>
    <cacheField name="¿Qué tan familiar es para usted el deporte?" numFmtId="0">
      <sharedItems count="4">
        <s v="Extremadamente familiarizado"/>
        <s v="Muy familiarizado"/>
        <s v="Algo familiarizado"/>
        <s v="No tan familiarizad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x v="0"/>
    <x v="0"/>
    <x v="0"/>
    <x v="0"/>
  </r>
  <r>
    <x v="1"/>
    <x v="1"/>
    <x v="1"/>
    <x v="1"/>
    <x v="1"/>
  </r>
  <r>
    <x v="2"/>
    <x v="1"/>
    <x v="2"/>
    <x v="2"/>
    <x v="1"/>
  </r>
  <r>
    <x v="0"/>
    <x v="1"/>
    <x v="0"/>
    <x v="3"/>
    <x v="2"/>
  </r>
  <r>
    <x v="0"/>
    <x v="2"/>
    <x v="0"/>
    <x v="4"/>
    <x v="0"/>
  </r>
  <r>
    <x v="2"/>
    <x v="0"/>
    <x v="0"/>
    <x v="5"/>
    <x v="3"/>
  </r>
  <r>
    <x v="1"/>
    <x v="0"/>
    <x v="0"/>
    <x v="6"/>
    <x v="0"/>
  </r>
  <r>
    <x v="1"/>
    <x v="0"/>
    <x v="0"/>
    <x v="7"/>
    <x v="2"/>
  </r>
  <r>
    <x v="1"/>
    <x v="2"/>
    <x v="0"/>
    <x v="8"/>
    <x v="0"/>
  </r>
  <r>
    <x v="0"/>
    <x v="2"/>
    <x v="2"/>
    <x v="9"/>
    <x v="1"/>
  </r>
  <r>
    <x v="0"/>
    <x v="0"/>
    <x v="1"/>
    <x v="5"/>
    <x v="1"/>
  </r>
  <r>
    <x v="1"/>
    <x v="0"/>
    <x v="2"/>
    <x v="8"/>
    <x v="1"/>
  </r>
  <r>
    <x v="1"/>
    <x v="1"/>
    <x v="0"/>
    <x v="10"/>
    <x v="1"/>
  </r>
  <r>
    <x v="0"/>
    <x v="0"/>
    <x v="0"/>
    <x v="8"/>
    <x v="1"/>
  </r>
  <r>
    <x v="0"/>
    <x v="0"/>
    <x v="2"/>
    <x v="11"/>
    <x v="2"/>
  </r>
  <r>
    <x v="3"/>
    <x v="2"/>
    <x v="0"/>
    <x v="0"/>
    <x v="2"/>
  </r>
  <r>
    <x v="2"/>
    <x v="2"/>
    <x v="2"/>
    <x v="12"/>
    <x v="2"/>
  </r>
  <r>
    <x v="0"/>
    <x v="1"/>
    <x v="2"/>
    <x v="13"/>
    <x v="1"/>
  </r>
  <r>
    <x v="0"/>
    <x v="1"/>
    <x v="2"/>
    <x v="14"/>
    <x v="0"/>
  </r>
  <r>
    <x v="0"/>
    <x v="0"/>
    <x v="0"/>
    <x v="8"/>
    <x v="1"/>
  </r>
  <r>
    <x v="4"/>
    <x v="1"/>
    <x v="0"/>
    <x v="2"/>
    <x v="0"/>
  </r>
  <r>
    <x v="3"/>
    <x v="0"/>
    <x v="0"/>
    <x v="15"/>
    <x v="0"/>
  </r>
  <r>
    <x v="4"/>
    <x v="1"/>
    <x v="0"/>
    <x v="0"/>
    <x v="1"/>
  </r>
  <r>
    <x v="1"/>
    <x v="0"/>
    <x v="0"/>
    <x v="0"/>
    <x v="2"/>
  </r>
  <r>
    <x v="0"/>
    <x v="0"/>
    <x v="2"/>
    <x v="9"/>
    <x v="1"/>
  </r>
  <r>
    <x v="4"/>
    <x v="0"/>
    <x v="0"/>
    <x v="16"/>
    <x v="2"/>
  </r>
  <r>
    <x v="1"/>
    <x v="1"/>
    <x v="1"/>
    <x v="8"/>
    <x v="0"/>
  </r>
  <r>
    <x v="1"/>
    <x v="0"/>
    <x v="0"/>
    <x v="15"/>
    <x v="0"/>
  </r>
  <r>
    <x v="0"/>
    <x v="1"/>
    <x v="0"/>
    <x v="14"/>
    <x v="1"/>
  </r>
  <r>
    <x v="0"/>
    <x v="1"/>
    <x v="0"/>
    <x v="5"/>
    <x v="1"/>
  </r>
  <r>
    <x v="0"/>
    <x v="0"/>
    <x v="2"/>
    <x v="0"/>
    <x v="1"/>
  </r>
  <r>
    <x v="0"/>
    <x v="0"/>
    <x v="2"/>
    <x v="9"/>
    <x v="1"/>
  </r>
  <r>
    <x v="0"/>
    <x v="2"/>
    <x v="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1ACA6-9D47-450C-B84C-E8B85E6FE97B}" name="TablaDinámica20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E8" firstHeaderRow="1" firstDataRow="2" firstDataCol="1"/>
  <pivotFields count="5">
    <pivotField showAll="0">
      <items count="6">
        <item x="1"/>
        <item x="2"/>
        <item x="3"/>
        <item x="0"/>
        <item x="4"/>
        <item t="default"/>
      </items>
    </pivotField>
    <pivotField axis="axisRow" dataField="1" showAll="0">
      <items count="4">
        <item x="1"/>
        <item x="2"/>
        <item x="0"/>
        <item t="default"/>
      </items>
    </pivotField>
    <pivotField axis="axisCol" showAll="0">
      <items count="4">
        <item x="2"/>
        <item x="1"/>
        <item x="0"/>
        <item t="default"/>
      </items>
    </pivotField>
    <pivotField showAll="0">
      <items count="18">
        <item x="11"/>
        <item x="4"/>
        <item x="0"/>
        <item x="1"/>
        <item x="3"/>
        <item x="2"/>
        <item x="14"/>
        <item x="16"/>
        <item x="8"/>
        <item x="6"/>
        <item x="7"/>
        <item x="5"/>
        <item x="12"/>
        <item x="10"/>
        <item x="9"/>
        <item x="15"/>
        <item x="13"/>
        <item t="default"/>
      </items>
    </pivotField>
    <pivotField showAll="0">
      <items count="5">
        <item x="2"/>
        <item x="0"/>
        <item x="1"/>
        <item x="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uenta de Carrera que estudia" fld="1" subtotal="count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8F976-D2BA-412B-A622-1990B423BA4C}">
  <dimension ref="A3:E8"/>
  <sheetViews>
    <sheetView tabSelected="1" workbookViewId="0">
      <selection activeCell="B11" sqref="B11"/>
    </sheetView>
  </sheetViews>
  <sheetFormatPr baseColWidth="10" defaultRowHeight="14.4" x14ac:dyDescent="0.3"/>
  <cols>
    <col min="1" max="1" width="30.44140625" bestFit="1" customWidth="1"/>
    <col min="2" max="2" width="21.44140625" bestFit="1" customWidth="1"/>
    <col min="3" max="3" width="12.33203125" bestFit="1" customWidth="1"/>
    <col min="4" max="4" width="8" bestFit="1" customWidth="1"/>
    <col min="5" max="5" width="11.88671875" bestFit="1" customWidth="1"/>
  </cols>
  <sheetData>
    <row r="3" spans="1:5" x14ac:dyDescent="0.3">
      <c r="A3" s="2" t="s">
        <v>23</v>
      </c>
      <c r="B3" s="2" t="s">
        <v>25</v>
      </c>
    </row>
    <row r="4" spans="1:5" x14ac:dyDescent="0.3">
      <c r="A4" s="2" t="s">
        <v>17</v>
      </c>
      <c r="B4" t="s">
        <v>12</v>
      </c>
      <c r="C4" t="s">
        <v>10</v>
      </c>
      <c r="D4" t="s">
        <v>7</v>
      </c>
      <c r="E4" t="s">
        <v>18</v>
      </c>
    </row>
    <row r="5" spans="1:5" x14ac:dyDescent="0.3">
      <c r="A5" s="3" t="s">
        <v>9</v>
      </c>
      <c r="B5" s="4">
        <v>0.3</v>
      </c>
      <c r="C5" s="4">
        <v>0.66666666666666663</v>
      </c>
      <c r="D5" s="4">
        <v>0.3</v>
      </c>
      <c r="E5" s="4">
        <v>0.33333333333333331</v>
      </c>
    </row>
    <row r="6" spans="1:5" x14ac:dyDescent="0.3">
      <c r="A6" s="3" t="s">
        <v>14</v>
      </c>
      <c r="B6" s="4">
        <v>0.2</v>
      </c>
      <c r="C6" s="4">
        <v>0</v>
      </c>
      <c r="D6" s="4">
        <v>0.2</v>
      </c>
      <c r="E6" s="4">
        <v>0.18181818181818182</v>
      </c>
    </row>
    <row r="7" spans="1:5" x14ac:dyDescent="0.3">
      <c r="A7" s="3" t="s">
        <v>6</v>
      </c>
      <c r="B7" s="4">
        <v>0.5</v>
      </c>
      <c r="C7" s="4">
        <v>0.33333333333333331</v>
      </c>
      <c r="D7" s="4">
        <v>0.5</v>
      </c>
      <c r="E7" s="4">
        <v>0.48484848484848486</v>
      </c>
    </row>
    <row r="8" spans="1:5" x14ac:dyDescent="0.3">
      <c r="A8" s="3" t="s">
        <v>18</v>
      </c>
      <c r="B8" s="4">
        <v>1</v>
      </c>
      <c r="C8" s="4">
        <v>1</v>
      </c>
      <c r="D8" s="4">
        <v>1</v>
      </c>
      <c r="E8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9E344-FB38-4A10-A47F-4FEB6539C5A3}">
  <dimension ref="A1:T52"/>
  <sheetViews>
    <sheetView topLeftCell="A34" workbookViewId="0">
      <selection activeCell="C61" sqref="C61"/>
    </sheetView>
  </sheetViews>
  <sheetFormatPr baseColWidth="10" defaultRowHeight="14.4" x14ac:dyDescent="0.3"/>
  <cols>
    <col min="1" max="1" width="24.109375" customWidth="1"/>
    <col min="2" max="2" width="11.77734375" customWidth="1"/>
    <col min="3" max="3" width="11.44140625" customWidth="1"/>
    <col min="4" max="4" width="13.33203125" customWidth="1"/>
    <col min="5" max="5" width="13.77734375" customWidth="1"/>
    <col min="6" max="6" width="11.109375" customWidth="1"/>
    <col min="7" max="7" width="10" customWidth="1"/>
    <col min="9" max="9" width="29.21875" customWidth="1"/>
  </cols>
  <sheetData>
    <row r="1" spans="1:20" ht="27" customHeight="1" x14ac:dyDescent="0.3">
      <c r="A1" s="8" t="s">
        <v>0</v>
      </c>
      <c r="B1" s="9" t="s">
        <v>19</v>
      </c>
      <c r="C1" s="9" t="s">
        <v>20</v>
      </c>
      <c r="D1" s="14"/>
      <c r="E1" s="8" t="s">
        <v>1</v>
      </c>
      <c r="F1" s="9" t="s">
        <v>19</v>
      </c>
      <c r="G1" s="9" t="s">
        <v>20</v>
      </c>
      <c r="H1" s="13"/>
      <c r="I1" s="8" t="s">
        <v>24</v>
      </c>
      <c r="J1" s="9" t="s">
        <v>19</v>
      </c>
      <c r="K1" s="9" t="s">
        <v>20</v>
      </c>
      <c r="L1" s="7"/>
      <c r="M1" s="7"/>
      <c r="N1" s="7"/>
      <c r="O1" s="7"/>
      <c r="P1" s="7"/>
      <c r="Q1" s="7"/>
      <c r="R1" s="7"/>
      <c r="S1" s="7"/>
      <c r="T1" s="7"/>
    </row>
    <row r="2" spans="1:20" ht="15.6" x14ac:dyDescent="0.3">
      <c r="A2" s="15" t="s">
        <v>5</v>
      </c>
      <c r="B2" s="16">
        <v>16</v>
      </c>
      <c r="C2" s="17">
        <v>0.48484848484848486</v>
      </c>
      <c r="D2" s="14"/>
      <c r="E2" s="18" t="s">
        <v>9</v>
      </c>
      <c r="F2" s="16">
        <v>11</v>
      </c>
      <c r="G2" s="17">
        <v>0.33333333333333298</v>
      </c>
      <c r="H2" s="6"/>
      <c r="I2" s="21" t="s">
        <v>13</v>
      </c>
      <c r="J2" s="19">
        <v>7</v>
      </c>
      <c r="K2" s="20">
        <v>0.21212121212121213</v>
      </c>
      <c r="L2" s="7"/>
      <c r="M2" s="7"/>
      <c r="N2" s="7"/>
      <c r="O2" s="7"/>
      <c r="P2" s="7"/>
      <c r="Q2" s="7"/>
      <c r="R2" s="7"/>
      <c r="S2" s="7"/>
      <c r="T2" s="7"/>
    </row>
    <row r="3" spans="1:20" ht="15.6" x14ac:dyDescent="0.3">
      <c r="A3" s="16">
        <v>19</v>
      </c>
      <c r="B3" s="16">
        <v>9</v>
      </c>
      <c r="C3" s="17">
        <v>0.27272727272727271</v>
      </c>
      <c r="D3" s="14"/>
      <c r="E3" s="18" t="s">
        <v>14</v>
      </c>
      <c r="F3" s="16">
        <v>6</v>
      </c>
      <c r="G3" s="17">
        <v>0.18181818181818182</v>
      </c>
      <c r="H3" s="6"/>
      <c r="I3" s="21" t="s">
        <v>8</v>
      </c>
      <c r="J3" s="19">
        <v>9</v>
      </c>
      <c r="K3" s="20">
        <v>0.27272727272727271</v>
      </c>
      <c r="L3" s="7"/>
      <c r="M3" s="7"/>
      <c r="N3" s="7"/>
      <c r="O3" s="7"/>
      <c r="P3" s="7"/>
      <c r="Q3" s="7"/>
      <c r="R3" s="7"/>
      <c r="S3" s="7"/>
      <c r="T3" s="7"/>
    </row>
    <row r="4" spans="1:20" ht="15.6" x14ac:dyDescent="0.3">
      <c r="A4" s="16">
        <v>20</v>
      </c>
      <c r="B4" s="16">
        <v>3</v>
      </c>
      <c r="C4" s="17">
        <v>9.0909090909090912E-2</v>
      </c>
      <c r="D4" s="14"/>
      <c r="E4" s="18" t="s">
        <v>6</v>
      </c>
      <c r="F4" s="16">
        <v>16</v>
      </c>
      <c r="G4" s="17">
        <v>0.48484848484848486</v>
      </c>
      <c r="H4" s="6"/>
      <c r="I4" s="21" t="s">
        <v>11</v>
      </c>
      <c r="J4" s="19">
        <v>16</v>
      </c>
      <c r="K4" s="20">
        <v>0.48484848484848486</v>
      </c>
      <c r="L4" s="7"/>
      <c r="M4" s="7"/>
      <c r="N4" s="7"/>
      <c r="O4" s="7"/>
      <c r="P4" s="7"/>
      <c r="Q4" s="7"/>
      <c r="R4" s="7"/>
      <c r="S4" s="7"/>
      <c r="T4" s="7"/>
    </row>
    <row r="5" spans="1:20" ht="15.6" x14ac:dyDescent="0.3">
      <c r="A5" s="16">
        <v>21</v>
      </c>
      <c r="B5" s="16">
        <v>2</v>
      </c>
      <c r="C5" s="17">
        <v>6.0606060606060608E-2</v>
      </c>
      <c r="D5" s="14"/>
      <c r="E5" s="12" t="s">
        <v>21</v>
      </c>
      <c r="F5" s="12">
        <v>33</v>
      </c>
      <c r="G5" s="12">
        <v>1</v>
      </c>
      <c r="H5" s="6"/>
      <c r="I5" s="21" t="s">
        <v>15</v>
      </c>
      <c r="J5" s="19">
        <v>1</v>
      </c>
      <c r="K5" s="20">
        <v>3.0303030303030304E-2</v>
      </c>
      <c r="L5" s="7"/>
      <c r="M5" s="7"/>
      <c r="N5" s="7"/>
      <c r="O5" s="7"/>
      <c r="P5" s="7"/>
      <c r="Q5" s="7"/>
      <c r="R5" s="7"/>
      <c r="S5" s="7"/>
      <c r="T5" s="7"/>
    </row>
    <row r="6" spans="1:20" ht="15.6" x14ac:dyDescent="0.3">
      <c r="A6" s="16" t="s">
        <v>16</v>
      </c>
      <c r="B6" s="16">
        <v>3</v>
      </c>
      <c r="C6" s="17">
        <v>9.0909090909090912E-2</v>
      </c>
      <c r="D6" s="14"/>
      <c r="E6" s="14"/>
      <c r="F6" s="14"/>
      <c r="G6" s="14"/>
      <c r="H6" s="7"/>
      <c r="I6" s="9" t="s">
        <v>22</v>
      </c>
      <c r="J6" s="9">
        <v>33</v>
      </c>
      <c r="K6" s="9">
        <v>1</v>
      </c>
      <c r="L6" s="7"/>
      <c r="M6" s="7"/>
      <c r="N6" s="7"/>
      <c r="O6" s="7"/>
      <c r="P6" s="7"/>
      <c r="Q6" s="7"/>
      <c r="R6" s="7"/>
      <c r="S6" s="7"/>
      <c r="T6" s="7"/>
    </row>
    <row r="7" spans="1:20" ht="15.6" x14ac:dyDescent="0.3">
      <c r="A7" s="12" t="s">
        <v>21</v>
      </c>
      <c r="B7" s="12">
        <v>33</v>
      </c>
      <c r="C7" s="12">
        <v>1</v>
      </c>
      <c r="D7" s="14"/>
      <c r="E7" s="14"/>
      <c r="F7" s="14"/>
      <c r="G7" s="14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ht="15.6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ht="15.6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ht="31.2" x14ac:dyDescent="0.3">
      <c r="A10" s="8" t="s">
        <v>2</v>
      </c>
      <c r="B10" s="9" t="s">
        <v>19</v>
      </c>
      <c r="C10" s="9" t="s">
        <v>20</v>
      </c>
      <c r="D10" s="6"/>
      <c r="E10" s="8" t="s">
        <v>3</v>
      </c>
      <c r="F10" s="9" t="s">
        <v>19</v>
      </c>
      <c r="G10" s="9" t="s">
        <v>20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ht="15.6" x14ac:dyDescent="0.3">
      <c r="A11" s="19" t="s">
        <v>7</v>
      </c>
      <c r="B11" s="19">
        <v>20</v>
      </c>
      <c r="C11" s="20">
        <v>0.60606060606060608</v>
      </c>
      <c r="D11" s="6"/>
      <c r="E11" s="19">
        <v>154</v>
      </c>
      <c r="F11" s="19">
        <v>1</v>
      </c>
      <c r="G11" s="20">
        <v>3.0303030303030304E-2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ht="15.6" x14ac:dyDescent="0.3">
      <c r="A12" s="19" t="s">
        <v>12</v>
      </c>
      <c r="B12" s="19">
        <v>10</v>
      </c>
      <c r="C12" s="20">
        <v>0.30303030303030304</v>
      </c>
      <c r="D12" s="6"/>
      <c r="E12" s="19">
        <v>159</v>
      </c>
      <c r="F12" s="19">
        <v>1</v>
      </c>
      <c r="G12" s="20">
        <v>3.0303030303030304E-2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ht="15.6" x14ac:dyDescent="0.3">
      <c r="A13" s="19" t="s">
        <v>10</v>
      </c>
      <c r="B13" s="19">
        <v>3</v>
      </c>
      <c r="C13" s="20">
        <v>9.0909090909090912E-2</v>
      </c>
      <c r="D13" s="6"/>
      <c r="E13" s="19">
        <v>160</v>
      </c>
      <c r="F13" s="19">
        <v>6</v>
      </c>
      <c r="G13" s="20">
        <v>0.18181818181818182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ht="15.6" x14ac:dyDescent="0.3">
      <c r="A14" s="9" t="s">
        <v>22</v>
      </c>
      <c r="B14" s="9">
        <v>33</v>
      </c>
      <c r="C14" s="9">
        <v>1</v>
      </c>
      <c r="D14" s="7"/>
      <c r="E14" s="19">
        <v>163</v>
      </c>
      <c r="F14" s="19">
        <v>1</v>
      </c>
      <c r="G14" s="20">
        <v>3.0303030303030304E-2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ht="15.6" x14ac:dyDescent="0.3">
      <c r="A15" s="7"/>
      <c r="B15" s="7"/>
      <c r="C15" s="7"/>
      <c r="D15" s="7"/>
      <c r="E15" s="19">
        <v>165</v>
      </c>
      <c r="F15" s="19">
        <v>1</v>
      </c>
      <c r="G15" s="20">
        <v>3.0303030303030304E-2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ht="15.6" x14ac:dyDescent="0.3">
      <c r="A16" s="7"/>
      <c r="B16" s="7"/>
      <c r="C16" s="7"/>
      <c r="D16" s="7"/>
      <c r="E16" s="19">
        <v>167</v>
      </c>
      <c r="F16" s="19">
        <v>2</v>
      </c>
      <c r="G16" s="20">
        <v>6.0606060606060608E-2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ht="15.6" x14ac:dyDescent="0.3">
      <c r="A17" s="7"/>
      <c r="B17" s="7"/>
      <c r="C17" s="7"/>
      <c r="D17" s="7"/>
      <c r="E17" s="19">
        <v>168</v>
      </c>
      <c r="F17" s="19">
        <v>2</v>
      </c>
      <c r="G17" s="20">
        <v>6.0606060606060608E-2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ht="15.6" x14ac:dyDescent="0.3">
      <c r="A18" s="7"/>
      <c r="B18" s="7"/>
      <c r="C18" s="7"/>
      <c r="D18" s="7"/>
      <c r="E18" s="19">
        <v>169</v>
      </c>
      <c r="F18" s="19">
        <v>1</v>
      </c>
      <c r="G18" s="20">
        <v>3.0303030303030304E-2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 ht="15.6" x14ac:dyDescent="0.3">
      <c r="A19" s="7"/>
      <c r="B19" s="7"/>
      <c r="C19" s="7"/>
      <c r="D19" s="7"/>
      <c r="E19" s="19">
        <v>170</v>
      </c>
      <c r="F19" s="19">
        <v>5</v>
      </c>
      <c r="G19" s="20">
        <v>0.15151515151515152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ht="15.6" x14ac:dyDescent="0.3">
      <c r="A20" s="7"/>
      <c r="B20" s="7"/>
      <c r="C20" s="7"/>
      <c r="D20" s="7"/>
      <c r="E20" s="19">
        <v>171</v>
      </c>
      <c r="F20" s="19">
        <v>1</v>
      </c>
      <c r="G20" s="20">
        <v>3.0303030303030304E-2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ht="15.6" x14ac:dyDescent="0.3">
      <c r="A21" s="7"/>
      <c r="B21" s="7"/>
      <c r="C21" s="7"/>
      <c r="D21" s="7"/>
      <c r="E21" s="19">
        <v>174</v>
      </c>
      <c r="F21" s="19">
        <v>1</v>
      </c>
      <c r="G21" s="20">
        <v>3.0303030303030304E-2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ht="15.6" x14ac:dyDescent="0.3">
      <c r="A22" s="7"/>
      <c r="B22" s="7"/>
      <c r="C22" s="7"/>
      <c r="D22" s="7"/>
      <c r="E22" s="19">
        <v>175</v>
      </c>
      <c r="F22" s="19">
        <v>3</v>
      </c>
      <c r="G22" s="20">
        <v>9.0909090909090912E-2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ht="15.6" x14ac:dyDescent="0.3">
      <c r="A23" s="7"/>
      <c r="B23" s="7"/>
      <c r="C23" s="7"/>
      <c r="D23" s="7"/>
      <c r="E23" s="19">
        <v>176</v>
      </c>
      <c r="F23" s="19">
        <v>1</v>
      </c>
      <c r="G23" s="20">
        <v>3.0303030303030304E-2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ht="15.6" x14ac:dyDescent="0.3">
      <c r="A24" s="7"/>
      <c r="B24" s="7"/>
      <c r="C24" s="7"/>
      <c r="D24" s="7"/>
      <c r="E24" s="19">
        <v>179</v>
      </c>
      <c r="F24" s="19">
        <v>1</v>
      </c>
      <c r="G24" s="20">
        <v>3.0303030303030304E-2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ht="15.6" x14ac:dyDescent="0.3">
      <c r="A25" s="7"/>
      <c r="B25" s="7"/>
      <c r="C25" s="7"/>
      <c r="D25" s="7"/>
      <c r="E25" s="19">
        <v>180</v>
      </c>
      <c r="F25" s="19">
        <v>3</v>
      </c>
      <c r="G25" s="20">
        <v>9.0909090909090912E-2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ht="15.6" x14ac:dyDescent="0.3">
      <c r="A26" s="7"/>
      <c r="B26" s="7"/>
      <c r="C26" s="7"/>
      <c r="D26" s="7"/>
      <c r="E26" s="19">
        <v>185</v>
      </c>
      <c r="F26" s="19">
        <v>2</v>
      </c>
      <c r="G26" s="20">
        <v>6.0606060606060608E-2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ht="15.6" x14ac:dyDescent="0.3">
      <c r="A27" s="7"/>
      <c r="B27" s="7"/>
      <c r="C27" s="7"/>
      <c r="D27" s="7"/>
      <c r="E27" s="19">
        <v>186</v>
      </c>
      <c r="F27" s="19">
        <v>1</v>
      </c>
      <c r="G27" s="20">
        <v>3.0303030303030304E-2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ht="15.6" x14ac:dyDescent="0.3">
      <c r="A28" s="7"/>
      <c r="B28" s="7"/>
      <c r="C28" s="7"/>
      <c r="D28" s="7"/>
      <c r="E28" s="9" t="s">
        <v>22</v>
      </c>
      <c r="F28" s="9">
        <v>33</v>
      </c>
      <c r="G28" s="9">
        <v>1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ht="15.6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ht="15.6" x14ac:dyDescent="0.3">
      <c r="A30" s="9" t="s">
        <v>24</v>
      </c>
      <c r="B30" s="9" t="s">
        <v>19</v>
      </c>
      <c r="C30" s="9" t="s">
        <v>20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ht="15.6" x14ac:dyDescent="0.3">
      <c r="A31" s="21" t="s">
        <v>8</v>
      </c>
      <c r="B31" s="19">
        <v>9</v>
      </c>
      <c r="C31" s="19">
        <v>0.27272727272727271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ht="15.6" x14ac:dyDescent="0.3">
      <c r="A32" s="21" t="s">
        <v>11</v>
      </c>
      <c r="B32" s="19">
        <v>16</v>
      </c>
      <c r="C32" s="19">
        <v>0.48484848484848486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ht="15.6" x14ac:dyDescent="0.3">
      <c r="A33" s="21" t="s">
        <v>13</v>
      </c>
      <c r="B33" s="19">
        <v>7</v>
      </c>
      <c r="C33" s="19">
        <v>0.21212121212121213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ht="15.6" x14ac:dyDescent="0.3">
      <c r="A34" s="21" t="s">
        <v>15</v>
      </c>
      <c r="B34" s="19">
        <v>1</v>
      </c>
      <c r="C34" s="19">
        <v>3.0303030303030304E-2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ht="15.6" x14ac:dyDescent="0.3">
      <c r="A35" s="9" t="s">
        <v>22</v>
      </c>
      <c r="B35" s="9">
        <v>33</v>
      </c>
      <c r="C35" s="9">
        <v>1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ht="15.6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ht="15.6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ht="15.6" x14ac:dyDescent="0.3">
      <c r="A38" s="22" t="s">
        <v>1</v>
      </c>
      <c r="B38" s="22" t="s">
        <v>2</v>
      </c>
      <c r="C38" s="22"/>
      <c r="D38" s="22"/>
      <c r="E38" s="1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ht="15.6" x14ac:dyDescent="0.3">
      <c r="A39" s="22"/>
      <c r="B39" s="9" t="s">
        <v>7</v>
      </c>
      <c r="C39" s="9" t="s">
        <v>12</v>
      </c>
      <c r="D39" s="9" t="s">
        <v>10</v>
      </c>
      <c r="E39" s="9" t="s">
        <v>21</v>
      </c>
      <c r="F39" s="5"/>
      <c r="G39" s="5"/>
      <c r="H39" s="5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spans="1:20" ht="15.6" x14ac:dyDescent="0.3">
      <c r="A40" s="11" t="s">
        <v>9</v>
      </c>
      <c r="B40" s="19">
        <v>6</v>
      </c>
      <c r="C40" s="19">
        <v>3</v>
      </c>
      <c r="D40" s="19">
        <v>2</v>
      </c>
      <c r="E40" s="19">
        <v>11</v>
      </c>
      <c r="F40" s="6"/>
      <c r="G40" s="6"/>
      <c r="H40" s="6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20" ht="31.2" x14ac:dyDescent="0.3">
      <c r="A41" s="10" t="s">
        <v>14</v>
      </c>
      <c r="B41" s="19">
        <v>4</v>
      </c>
      <c r="C41" s="19">
        <v>2</v>
      </c>
      <c r="D41" s="19">
        <v>0</v>
      </c>
      <c r="E41" s="19">
        <v>6</v>
      </c>
      <c r="F41" s="6"/>
      <c r="G41" s="6"/>
      <c r="H41" s="6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1:20" ht="15.6" x14ac:dyDescent="0.3">
      <c r="A42" s="11" t="s">
        <v>6</v>
      </c>
      <c r="B42" s="19">
        <v>10</v>
      </c>
      <c r="C42" s="19">
        <v>5</v>
      </c>
      <c r="D42" s="19">
        <v>1</v>
      </c>
      <c r="E42" s="19">
        <v>16</v>
      </c>
      <c r="F42" s="6"/>
      <c r="G42" s="6"/>
      <c r="H42" s="6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20" ht="15.6" x14ac:dyDescent="0.3">
      <c r="A43" s="9" t="s">
        <v>22</v>
      </c>
      <c r="B43" s="9">
        <v>20</v>
      </c>
      <c r="C43" s="9">
        <v>10</v>
      </c>
      <c r="D43" s="9">
        <v>3</v>
      </c>
      <c r="E43" s="9">
        <v>33</v>
      </c>
      <c r="F43" s="5"/>
      <c r="G43" s="5"/>
      <c r="H43" s="5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20" ht="15.6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0" ht="15.6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1:20" ht="15.6" x14ac:dyDescent="0.3">
      <c r="A46" s="22" t="s">
        <v>1</v>
      </c>
      <c r="B46" s="22" t="s">
        <v>2</v>
      </c>
      <c r="C46" s="22"/>
      <c r="D46" s="22"/>
      <c r="E46" s="11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spans="1:20" ht="15.6" x14ac:dyDescent="0.3">
      <c r="A47" s="22"/>
      <c r="B47" s="9" t="s">
        <v>7</v>
      </c>
      <c r="C47" s="9" t="s">
        <v>12</v>
      </c>
      <c r="D47" s="9" t="s">
        <v>10</v>
      </c>
      <c r="E47" s="9" t="s">
        <v>21</v>
      </c>
      <c r="F47" s="6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spans="1:20" ht="15.6" x14ac:dyDescent="0.3">
      <c r="A48" s="11" t="s">
        <v>9</v>
      </c>
      <c r="B48" s="19">
        <v>0.3</v>
      </c>
      <c r="C48" s="19">
        <v>0.3</v>
      </c>
      <c r="D48" s="20">
        <v>0.66666666666666663</v>
      </c>
      <c r="E48" s="20">
        <v>0.33333333333333331</v>
      </c>
      <c r="F48" s="6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1:20" ht="15.6" x14ac:dyDescent="0.3">
      <c r="A49" s="11" t="s">
        <v>14</v>
      </c>
      <c r="B49" s="19">
        <v>0.2</v>
      </c>
      <c r="C49" s="19">
        <v>0.2</v>
      </c>
      <c r="D49" s="20">
        <v>0</v>
      </c>
      <c r="E49" s="20">
        <v>0.18181818181818182</v>
      </c>
      <c r="F49" s="6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spans="1:20" ht="15.6" x14ac:dyDescent="0.3">
      <c r="A50" s="11" t="s">
        <v>6</v>
      </c>
      <c r="B50" s="19">
        <v>0.5</v>
      </c>
      <c r="C50" s="19">
        <v>0.5</v>
      </c>
      <c r="D50" s="20">
        <v>0.33333333333333331</v>
      </c>
      <c r="E50" s="20">
        <v>0.48484848484848486</v>
      </c>
      <c r="F50" s="6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spans="1:20" ht="15.6" x14ac:dyDescent="0.3">
      <c r="A51" s="9" t="s">
        <v>22</v>
      </c>
      <c r="B51" s="19">
        <v>1</v>
      </c>
      <c r="C51" s="19">
        <v>1</v>
      </c>
      <c r="D51" s="19">
        <v>1</v>
      </c>
      <c r="E51" s="19">
        <v>1</v>
      </c>
      <c r="F51" s="6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spans="1:20" ht="15.6" x14ac:dyDescent="0.3">
      <c r="A52" s="7"/>
      <c r="B52" s="7"/>
      <c r="C52" s="7"/>
    </row>
  </sheetData>
  <mergeCells count="4">
    <mergeCell ref="A38:A39"/>
    <mergeCell ref="B38:D38"/>
    <mergeCell ref="A46:A47"/>
    <mergeCell ref="B46:D46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A8A6-2E19-48DA-B133-3C9AF777F251}">
  <dimension ref="A1:E41"/>
  <sheetViews>
    <sheetView topLeftCell="A18" workbookViewId="0">
      <selection activeCell="E38" sqref="E38"/>
    </sheetView>
  </sheetViews>
  <sheetFormatPr baseColWidth="10" defaultRowHeight="14.4" x14ac:dyDescent="0.3"/>
  <cols>
    <col min="1" max="1" width="19.21875" bestFit="1" customWidth="1"/>
    <col min="2" max="2" width="30.44140625" bestFit="1" customWidth="1"/>
    <col min="3" max="3" width="18.33203125" bestFit="1" customWidth="1"/>
    <col min="4" max="4" width="20.5546875" bestFit="1" customWidth="1"/>
    <col min="5" max="5" width="36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s="23">
        <v>160</v>
      </c>
      <c r="E2" t="s">
        <v>8</v>
      </c>
    </row>
    <row r="3" spans="1:5" x14ac:dyDescent="0.3">
      <c r="A3">
        <v>19</v>
      </c>
      <c r="B3" t="s">
        <v>9</v>
      </c>
      <c r="C3" t="s">
        <v>10</v>
      </c>
      <c r="D3" s="23">
        <v>163</v>
      </c>
      <c r="E3" t="s">
        <v>11</v>
      </c>
    </row>
    <row r="4" spans="1:5" x14ac:dyDescent="0.3">
      <c r="A4">
        <v>20</v>
      </c>
      <c r="B4" t="s">
        <v>9</v>
      </c>
      <c r="C4" t="s">
        <v>12</v>
      </c>
      <c r="D4" s="23">
        <v>167</v>
      </c>
      <c r="E4" t="s">
        <v>11</v>
      </c>
    </row>
    <row r="5" spans="1:5" x14ac:dyDescent="0.3">
      <c r="A5" t="s">
        <v>5</v>
      </c>
      <c r="B5" t="s">
        <v>9</v>
      </c>
      <c r="C5" t="s">
        <v>7</v>
      </c>
      <c r="D5" s="23">
        <v>165</v>
      </c>
      <c r="E5" t="s">
        <v>13</v>
      </c>
    </row>
    <row r="6" spans="1:5" x14ac:dyDescent="0.3">
      <c r="A6" t="s">
        <v>5</v>
      </c>
      <c r="B6" t="s">
        <v>14</v>
      </c>
      <c r="C6" t="s">
        <v>7</v>
      </c>
      <c r="D6" s="23">
        <v>159</v>
      </c>
      <c r="E6" t="s">
        <v>8</v>
      </c>
    </row>
    <row r="7" spans="1:5" x14ac:dyDescent="0.3">
      <c r="A7">
        <v>20</v>
      </c>
      <c r="B7" t="s">
        <v>6</v>
      </c>
      <c r="C7" t="s">
        <v>7</v>
      </c>
      <c r="D7" s="23">
        <v>175</v>
      </c>
      <c r="E7" t="s">
        <v>15</v>
      </c>
    </row>
    <row r="8" spans="1:5" x14ac:dyDescent="0.3">
      <c r="A8">
        <v>19</v>
      </c>
      <c r="B8" t="s">
        <v>6</v>
      </c>
      <c r="C8" t="s">
        <v>7</v>
      </c>
      <c r="D8" s="23">
        <v>171</v>
      </c>
      <c r="E8" t="s">
        <v>8</v>
      </c>
    </row>
    <row r="9" spans="1:5" x14ac:dyDescent="0.3">
      <c r="A9">
        <v>19</v>
      </c>
      <c r="B9" t="s">
        <v>6</v>
      </c>
      <c r="C9" t="s">
        <v>7</v>
      </c>
      <c r="D9" s="23">
        <v>174</v>
      </c>
      <c r="E9" t="s">
        <v>13</v>
      </c>
    </row>
    <row r="10" spans="1:5" x14ac:dyDescent="0.3">
      <c r="A10">
        <v>19</v>
      </c>
      <c r="B10" t="s">
        <v>14</v>
      </c>
      <c r="C10" t="s">
        <v>7</v>
      </c>
      <c r="D10" s="23">
        <v>170</v>
      </c>
      <c r="E10" t="s">
        <v>8</v>
      </c>
    </row>
    <row r="11" spans="1:5" x14ac:dyDescent="0.3">
      <c r="A11" t="s">
        <v>5</v>
      </c>
      <c r="B11" t="s">
        <v>14</v>
      </c>
      <c r="C11" t="s">
        <v>12</v>
      </c>
      <c r="D11" s="23">
        <v>180</v>
      </c>
      <c r="E11" t="s">
        <v>11</v>
      </c>
    </row>
    <row r="12" spans="1:5" x14ac:dyDescent="0.3">
      <c r="A12" t="s">
        <v>5</v>
      </c>
      <c r="B12" t="s">
        <v>6</v>
      </c>
      <c r="C12" t="s">
        <v>10</v>
      </c>
      <c r="D12" s="23">
        <v>175</v>
      </c>
      <c r="E12" t="s">
        <v>11</v>
      </c>
    </row>
    <row r="13" spans="1:5" x14ac:dyDescent="0.3">
      <c r="A13">
        <v>19</v>
      </c>
      <c r="B13" t="s">
        <v>6</v>
      </c>
      <c r="C13" t="s">
        <v>12</v>
      </c>
      <c r="D13" s="23">
        <v>170</v>
      </c>
      <c r="E13" t="s">
        <v>11</v>
      </c>
    </row>
    <row r="14" spans="1:5" x14ac:dyDescent="0.3">
      <c r="A14">
        <v>19</v>
      </c>
      <c r="B14" t="s">
        <v>9</v>
      </c>
      <c r="C14" t="s">
        <v>7</v>
      </c>
      <c r="D14" s="23">
        <v>179</v>
      </c>
      <c r="E14" t="s">
        <v>11</v>
      </c>
    </row>
    <row r="15" spans="1:5" x14ac:dyDescent="0.3">
      <c r="A15" t="s">
        <v>5</v>
      </c>
      <c r="B15" t="s">
        <v>6</v>
      </c>
      <c r="C15" t="s">
        <v>7</v>
      </c>
      <c r="D15" s="23">
        <v>170</v>
      </c>
      <c r="E15" t="s">
        <v>11</v>
      </c>
    </row>
    <row r="16" spans="1:5" x14ac:dyDescent="0.3">
      <c r="A16" t="s">
        <v>5</v>
      </c>
      <c r="B16" t="s">
        <v>6</v>
      </c>
      <c r="C16" t="s">
        <v>12</v>
      </c>
      <c r="D16" s="23">
        <v>154</v>
      </c>
      <c r="E16" t="s">
        <v>13</v>
      </c>
    </row>
    <row r="17" spans="1:5" x14ac:dyDescent="0.3">
      <c r="A17">
        <v>21</v>
      </c>
      <c r="B17" t="s">
        <v>14</v>
      </c>
      <c r="C17" t="s">
        <v>7</v>
      </c>
      <c r="D17" s="23">
        <v>160</v>
      </c>
      <c r="E17" t="s">
        <v>13</v>
      </c>
    </row>
    <row r="18" spans="1:5" x14ac:dyDescent="0.3">
      <c r="A18">
        <v>20</v>
      </c>
      <c r="B18" t="s">
        <v>14</v>
      </c>
      <c r="C18" t="s">
        <v>12</v>
      </c>
      <c r="D18" s="23">
        <v>176</v>
      </c>
      <c r="E18" t="s">
        <v>13</v>
      </c>
    </row>
    <row r="19" spans="1:5" x14ac:dyDescent="0.3">
      <c r="A19" t="s">
        <v>5</v>
      </c>
      <c r="B19" t="s">
        <v>9</v>
      </c>
      <c r="C19" t="s">
        <v>12</v>
      </c>
      <c r="D19" s="23">
        <v>186</v>
      </c>
      <c r="E19" t="s">
        <v>11</v>
      </c>
    </row>
    <row r="20" spans="1:5" x14ac:dyDescent="0.3">
      <c r="A20" t="s">
        <v>5</v>
      </c>
      <c r="B20" t="s">
        <v>9</v>
      </c>
      <c r="C20" t="s">
        <v>12</v>
      </c>
      <c r="D20" s="23">
        <v>168</v>
      </c>
      <c r="E20" t="s">
        <v>8</v>
      </c>
    </row>
    <row r="21" spans="1:5" x14ac:dyDescent="0.3">
      <c r="A21" t="s">
        <v>5</v>
      </c>
      <c r="B21" t="s">
        <v>6</v>
      </c>
      <c r="C21" t="s">
        <v>7</v>
      </c>
      <c r="D21" s="23">
        <v>170</v>
      </c>
      <c r="E21" t="s">
        <v>11</v>
      </c>
    </row>
    <row r="22" spans="1:5" x14ac:dyDescent="0.3">
      <c r="A22" t="s">
        <v>16</v>
      </c>
      <c r="B22" t="s">
        <v>9</v>
      </c>
      <c r="C22" t="s">
        <v>7</v>
      </c>
      <c r="D22" s="23">
        <v>167</v>
      </c>
      <c r="E22" t="s">
        <v>8</v>
      </c>
    </row>
    <row r="23" spans="1:5" x14ac:dyDescent="0.3">
      <c r="A23">
        <v>21</v>
      </c>
      <c r="B23" t="s">
        <v>6</v>
      </c>
      <c r="C23" t="s">
        <v>7</v>
      </c>
      <c r="D23" s="23">
        <v>185</v>
      </c>
      <c r="E23" t="s">
        <v>8</v>
      </c>
    </row>
    <row r="24" spans="1:5" x14ac:dyDescent="0.3">
      <c r="A24" t="s">
        <v>16</v>
      </c>
      <c r="B24" t="s">
        <v>9</v>
      </c>
      <c r="C24" t="s">
        <v>7</v>
      </c>
      <c r="D24" s="23">
        <v>160</v>
      </c>
      <c r="E24" t="s">
        <v>11</v>
      </c>
    </row>
    <row r="25" spans="1:5" x14ac:dyDescent="0.3">
      <c r="A25">
        <v>19</v>
      </c>
      <c r="B25" t="s">
        <v>6</v>
      </c>
      <c r="C25" t="s">
        <v>7</v>
      </c>
      <c r="D25" s="23">
        <v>160</v>
      </c>
      <c r="E25" t="s">
        <v>13</v>
      </c>
    </row>
    <row r="26" spans="1:5" x14ac:dyDescent="0.3">
      <c r="A26" t="s">
        <v>5</v>
      </c>
      <c r="B26" t="s">
        <v>6</v>
      </c>
      <c r="C26" t="s">
        <v>12</v>
      </c>
      <c r="D26" s="23">
        <v>180</v>
      </c>
      <c r="E26" t="s">
        <v>11</v>
      </c>
    </row>
    <row r="27" spans="1:5" x14ac:dyDescent="0.3">
      <c r="A27" t="s">
        <v>16</v>
      </c>
      <c r="B27" t="s">
        <v>6</v>
      </c>
      <c r="C27" t="s">
        <v>7</v>
      </c>
      <c r="D27" s="23">
        <v>169</v>
      </c>
      <c r="E27" t="s">
        <v>13</v>
      </c>
    </row>
    <row r="28" spans="1:5" x14ac:dyDescent="0.3">
      <c r="A28">
        <v>19</v>
      </c>
      <c r="B28" t="s">
        <v>9</v>
      </c>
      <c r="C28" t="s">
        <v>10</v>
      </c>
      <c r="D28" s="23">
        <v>170</v>
      </c>
      <c r="E28" t="s">
        <v>8</v>
      </c>
    </row>
    <row r="29" spans="1:5" x14ac:dyDescent="0.3">
      <c r="A29">
        <v>19</v>
      </c>
      <c r="B29" t="s">
        <v>6</v>
      </c>
      <c r="C29" t="s">
        <v>7</v>
      </c>
      <c r="D29" s="23">
        <v>185</v>
      </c>
      <c r="E29" t="s">
        <v>8</v>
      </c>
    </row>
    <row r="30" spans="1:5" x14ac:dyDescent="0.3">
      <c r="A30" t="s">
        <v>5</v>
      </c>
      <c r="B30" t="s">
        <v>9</v>
      </c>
      <c r="C30" t="s">
        <v>7</v>
      </c>
      <c r="D30" s="23">
        <v>168</v>
      </c>
      <c r="E30" t="s">
        <v>11</v>
      </c>
    </row>
    <row r="31" spans="1:5" x14ac:dyDescent="0.3">
      <c r="A31" t="s">
        <v>5</v>
      </c>
      <c r="B31" t="s">
        <v>9</v>
      </c>
      <c r="C31" t="s">
        <v>7</v>
      </c>
      <c r="D31" s="23">
        <v>175</v>
      </c>
      <c r="E31" t="s">
        <v>11</v>
      </c>
    </row>
    <row r="32" spans="1:5" x14ac:dyDescent="0.3">
      <c r="A32" t="s">
        <v>5</v>
      </c>
      <c r="B32" t="s">
        <v>6</v>
      </c>
      <c r="C32" t="s">
        <v>12</v>
      </c>
      <c r="D32" s="23">
        <v>160</v>
      </c>
      <c r="E32" t="s">
        <v>11</v>
      </c>
    </row>
    <row r="33" spans="1:5" x14ac:dyDescent="0.3">
      <c r="A33" t="s">
        <v>5</v>
      </c>
      <c r="B33" t="s">
        <v>6</v>
      </c>
      <c r="C33" t="s">
        <v>12</v>
      </c>
      <c r="D33" s="23">
        <v>180</v>
      </c>
      <c r="E33" t="s">
        <v>11</v>
      </c>
    </row>
    <row r="34" spans="1:5" x14ac:dyDescent="0.3">
      <c r="A34" t="s">
        <v>5</v>
      </c>
      <c r="B34" t="s">
        <v>14</v>
      </c>
      <c r="C34" t="s">
        <v>7</v>
      </c>
      <c r="D34" s="23">
        <v>160</v>
      </c>
      <c r="E34" t="s">
        <v>11</v>
      </c>
    </row>
    <row r="36" spans="1:5" x14ac:dyDescent="0.3">
      <c r="C36" s="24" t="s">
        <v>26</v>
      </c>
      <c r="D36" s="25">
        <f>AVERAGE(D2:D34)</f>
        <v>170.03030303030303</v>
      </c>
    </row>
    <row r="37" spans="1:5" x14ac:dyDescent="0.3">
      <c r="C37" s="26" t="s">
        <v>27</v>
      </c>
      <c r="D37" s="27">
        <f>MODE(D2:D34)</f>
        <v>160</v>
      </c>
    </row>
    <row r="38" spans="1:5" x14ac:dyDescent="0.3">
      <c r="C38" s="26" t="s">
        <v>28</v>
      </c>
      <c r="D38" s="27">
        <f>MEDIAN(D2:D34)</f>
        <v>170</v>
      </c>
    </row>
    <row r="39" spans="1:5" x14ac:dyDescent="0.3">
      <c r="C39" s="28" t="s">
        <v>29</v>
      </c>
      <c r="D39" s="29">
        <f>MAX(D2:D34)-MIN(D2:D34)</f>
        <v>32</v>
      </c>
    </row>
    <row r="40" spans="1:5" x14ac:dyDescent="0.3">
      <c r="C40" s="28" t="s">
        <v>30</v>
      </c>
      <c r="D40" s="29">
        <f>VAR(D2:D34)</f>
        <v>71.655303030303045</v>
      </c>
    </row>
    <row r="41" spans="1:5" x14ac:dyDescent="0.3">
      <c r="C41" s="30" t="s">
        <v>31</v>
      </c>
      <c r="D41" s="31">
        <f>STDEV(D2:D34)</f>
        <v>8.4649455420754514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Hoja5</vt:lpstr>
      <vt:lpstr>Tablas y Gráficas</vt:lpstr>
      <vt:lpstr>Base de dato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 Estela de León Sandoval</dc:creator>
  <cp:lastModifiedBy>Daniel Sajvin</cp:lastModifiedBy>
  <dcterms:created xsi:type="dcterms:W3CDTF">2022-01-24T21:20:50Z</dcterms:created>
  <dcterms:modified xsi:type="dcterms:W3CDTF">2022-01-25T22:23:56Z</dcterms:modified>
</cp:coreProperties>
</file>