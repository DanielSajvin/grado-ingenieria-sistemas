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0" yWindow="0" windowWidth="23040" windowHeight="12900" tabRatio="500"/>
  </bookViews>
  <sheets>
    <sheet name="Pareto" sheetId="2" r:id="rId1"/>
    <sheet name="Ejercicio" sheetId="3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  <c r="C4" i="2"/>
  <c r="C5" i="2"/>
  <c r="C6" i="2"/>
  <c r="C7" i="2"/>
  <c r="C8" i="2"/>
  <c r="C9" i="2"/>
  <c r="C10" i="2"/>
  <c r="C11" i="2"/>
  <c r="C3" i="2"/>
  <c r="C2" i="2"/>
</calcChain>
</file>

<file path=xl/sharedStrings.xml><?xml version="1.0" encoding="utf-8"?>
<sst xmlns="http://schemas.openxmlformats.org/spreadsheetml/2006/main" count="24" uniqueCount="24">
  <si>
    <t>Tipos de tejido</t>
  </si>
  <si>
    <t>Seda</t>
  </si>
  <si>
    <t>Tul</t>
  </si>
  <si>
    <t>Raso</t>
  </si>
  <si>
    <t>Lana</t>
  </si>
  <si>
    <t>Satén</t>
  </si>
  <si>
    <t>Algodón</t>
  </si>
  <si>
    <t>Tafetán</t>
  </si>
  <si>
    <t>Encaje</t>
  </si>
  <si>
    <t>Lino</t>
  </si>
  <si>
    <t>Viscosa</t>
  </si>
  <si>
    <t>F</t>
  </si>
  <si>
    <t>FR</t>
  </si>
  <si>
    <t>Interpretación:</t>
  </si>
  <si>
    <t>En el gráfico obtenido se observa que un 20% de los tejidos(Algodón y Tul)</t>
  </si>
  <si>
    <t xml:space="preserve">representan aproximadamente un 80% de losdefectos, por lo tanto centrándose </t>
  </si>
  <si>
    <t>la empresa solo en esos 2productos reducirá en un 80% el nœmero de defectos.</t>
  </si>
  <si>
    <t>Número de  defectos (f)</t>
  </si>
  <si>
    <t>¿Motivos de pérdida de tiempo para llegar en vehículo a una cita?</t>
  </si>
  <si>
    <t>Semáforos</t>
  </si>
  <si>
    <t>Reparación de las calles</t>
  </si>
  <si>
    <t>Vehículos parqueados</t>
  </si>
  <si>
    <t>Precalentamiento del motor</t>
  </si>
  <si>
    <t>Acumulación de tráfico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</si>
</sst>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9" fontId="0" fillId="0" borderId="0" xfId="1" applyFont="1" applyAlignment="1">
      <alignment horizontal="center"/>
    </xf>
    <xf numFmtId="0" fontId="2" fillId="0" borderId="0" xfId="0" applyFont="1"/>
  </cellXfs>
  <cellStyles count="30"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Normal" xfId="0" builtinId="0"/>
    <cellStyle name="Porcentual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Pareto!$A$2:$A$11</c:f>
              <c:strCache>
                <c:ptCount val="10"/>
                <c:pt idx="0">
                  <c:v>Algodón</c:v>
                </c:pt>
                <c:pt idx="1">
                  <c:v>Tul</c:v>
                </c:pt>
                <c:pt idx="2">
                  <c:v>Seda</c:v>
                </c:pt>
                <c:pt idx="3">
                  <c:v>Satén</c:v>
                </c:pt>
                <c:pt idx="4">
                  <c:v>Lino</c:v>
                </c:pt>
                <c:pt idx="5">
                  <c:v>Viscosa</c:v>
                </c:pt>
                <c:pt idx="6">
                  <c:v>Encaje</c:v>
                </c:pt>
                <c:pt idx="7">
                  <c:v>Raso</c:v>
                </c:pt>
                <c:pt idx="8">
                  <c:v>Tafetán</c:v>
                </c:pt>
                <c:pt idx="9">
                  <c:v>Lana</c:v>
                </c:pt>
              </c:strCache>
            </c:strRef>
          </c:cat>
          <c:val>
            <c:numRef>
              <c:f>Pareto!$B$2:$B$11</c:f>
              <c:numCache>
                <c:formatCode>General</c:formatCode>
                <c:ptCount val="10"/>
                <c:pt idx="0">
                  <c:v>171.0</c:v>
                </c:pt>
                <c:pt idx="1">
                  <c:v>105.0</c:v>
                </c:pt>
                <c:pt idx="2">
                  <c:v>13.0</c:v>
                </c:pt>
                <c:pt idx="3">
                  <c:v>11.0</c:v>
                </c:pt>
                <c:pt idx="4">
                  <c:v>9.0</c:v>
                </c:pt>
                <c:pt idx="5">
                  <c:v>9.0</c:v>
                </c:pt>
                <c:pt idx="6">
                  <c:v>8.0</c:v>
                </c:pt>
                <c:pt idx="7">
                  <c:v>7.0</c:v>
                </c:pt>
                <c:pt idx="8">
                  <c:v>7.0</c:v>
                </c:pt>
                <c:pt idx="9">
                  <c:v>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6386040"/>
        <c:axId val="2106389016"/>
      </c:barChart>
      <c:lineChart>
        <c:grouping val="standard"/>
        <c:varyColors val="0"/>
        <c:ser>
          <c:idx val="1"/>
          <c:order val="1"/>
          <c:marker>
            <c:symbol val="none"/>
          </c:marker>
          <c:cat>
            <c:strRef>
              <c:f>Pareto!$A$2:$A$11</c:f>
              <c:strCache>
                <c:ptCount val="10"/>
                <c:pt idx="0">
                  <c:v>Algodón</c:v>
                </c:pt>
                <c:pt idx="1">
                  <c:v>Tul</c:v>
                </c:pt>
                <c:pt idx="2">
                  <c:v>Seda</c:v>
                </c:pt>
                <c:pt idx="3">
                  <c:v>Satén</c:v>
                </c:pt>
                <c:pt idx="4">
                  <c:v>Lino</c:v>
                </c:pt>
                <c:pt idx="5">
                  <c:v>Viscosa</c:v>
                </c:pt>
                <c:pt idx="6">
                  <c:v>Encaje</c:v>
                </c:pt>
                <c:pt idx="7">
                  <c:v>Raso</c:v>
                </c:pt>
                <c:pt idx="8">
                  <c:v>Tafetán</c:v>
                </c:pt>
                <c:pt idx="9">
                  <c:v>Lana</c:v>
                </c:pt>
              </c:strCache>
            </c:strRef>
          </c:cat>
          <c:val>
            <c:numRef>
              <c:f>Pareto!$C$2:$C$11</c:f>
              <c:numCache>
                <c:formatCode>General</c:formatCode>
                <c:ptCount val="10"/>
                <c:pt idx="0">
                  <c:v>171.0</c:v>
                </c:pt>
                <c:pt idx="1">
                  <c:v>276.0</c:v>
                </c:pt>
                <c:pt idx="2">
                  <c:v>289.0</c:v>
                </c:pt>
                <c:pt idx="3">
                  <c:v>300.0</c:v>
                </c:pt>
                <c:pt idx="4">
                  <c:v>309.0</c:v>
                </c:pt>
                <c:pt idx="5">
                  <c:v>318.0</c:v>
                </c:pt>
                <c:pt idx="6">
                  <c:v>326.0</c:v>
                </c:pt>
                <c:pt idx="7">
                  <c:v>333.0</c:v>
                </c:pt>
                <c:pt idx="8">
                  <c:v>340.0</c:v>
                </c:pt>
                <c:pt idx="9">
                  <c:v>344.0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386040"/>
        <c:axId val="2106389016"/>
      </c:lineChart>
      <c:catAx>
        <c:axId val="2106386040"/>
        <c:scaling>
          <c:orientation val="minMax"/>
        </c:scaling>
        <c:delete val="0"/>
        <c:axPos val="b"/>
        <c:majorTickMark val="out"/>
        <c:minorTickMark val="none"/>
        <c:tickLblPos val="nextTo"/>
        <c:crossAx val="2106389016"/>
        <c:crosses val="autoZero"/>
        <c:auto val="1"/>
        <c:lblAlgn val="ctr"/>
        <c:lblOffset val="100"/>
        <c:noMultiLvlLbl val="0"/>
      </c:catAx>
      <c:valAx>
        <c:axId val="2106389016"/>
        <c:scaling>
          <c:orientation val="minMax"/>
          <c:max val="35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6386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444500</xdr:colOff>
      <xdr:row>15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baseColWidth="10" defaultRowHeight="15" x14ac:dyDescent="0"/>
  <sheetData>
    <row r="1" spans="1:4" ht="30">
      <c r="A1" s="2" t="s">
        <v>0</v>
      </c>
      <c r="B1" s="2" t="s">
        <v>17</v>
      </c>
      <c r="C1" s="2" t="s">
        <v>11</v>
      </c>
      <c r="D1" s="2" t="s">
        <v>12</v>
      </c>
    </row>
    <row r="2" spans="1:4">
      <c r="A2" t="s">
        <v>6</v>
      </c>
      <c r="B2" s="1">
        <v>171</v>
      </c>
      <c r="C2" s="1">
        <f>B2</f>
        <v>171</v>
      </c>
      <c r="D2" s="3">
        <f>C2/C$11</f>
        <v>0.49709302325581395</v>
      </c>
    </row>
    <row r="3" spans="1:4">
      <c r="A3" t="s">
        <v>2</v>
      </c>
      <c r="B3" s="1">
        <v>105</v>
      </c>
      <c r="C3" s="1">
        <f>C2+B3</f>
        <v>276</v>
      </c>
      <c r="D3" s="3">
        <f t="shared" ref="D3:D11" si="0">C3/C$11</f>
        <v>0.80232558139534882</v>
      </c>
    </row>
    <row r="4" spans="1:4">
      <c r="A4" t="s">
        <v>1</v>
      </c>
      <c r="B4" s="1">
        <v>13</v>
      </c>
      <c r="C4" s="1">
        <f t="shared" ref="C4:C11" si="1">C3+B4</f>
        <v>289</v>
      </c>
      <c r="D4" s="3">
        <f t="shared" si="0"/>
        <v>0.84011627906976749</v>
      </c>
    </row>
    <row r="5" spans="1:4">
      <c r="A5" t="s">
        <v>5</v>
      </c>
      <c r="B5" s="1">
        <v>11</v>
      </c>
      <c r="C5" s="1">
        <f t="shared" si="1"/>
        <v>300</v>
      </c>
      <c r="D5" s="3">
        <f t="shared" si="0"/>
        <v>0.87209302325581395</v>
      </c>
    </row>
    <row r="6" spans="1:4">
      <c r="A6" t="s">
        <v>9</v>
      </c>
      <c r="B6" s="1">
        <v>9</v>
      </c>
      <c r="C6" s="1">
        <f t="shared" si="1"/>
        <v>309</v>
      </c>
      <c r="D6" s="3">
        <f t="shared" si="0"/>
        <v>0.89825581395348841</v>
      </c>
    </row>
    <row r="7" spans="1:4">
      <c r="A7" t="s">
        <v>10</v>
      </c>
      <c r="B7" s="1">
        <v>9</v>
      </c>
      <c r="C7" s="1">
        <f t="shared" si="1"/>
        <v>318</v>
      </c>
      <c r="D7" s="3">
        <f t="shared" si="0"/>
        <v>0.92441860465116277</v>
      </c>
    </row>
    <row r="8" spans="1:4">
      <c r="A8" t="s">
        <v>8</v>
      </c>
      <c r="B8" s="1">
        <v>8</v>
      </c>
      <c r="C8" s="1">
        <f t="shared" si="1"/>
        <v>326</v>
      </c>
      <c r="D8" s="3">
        <f t="shared" si="0"/>
        <v>0.94767441860465118</v>
      </c>
    </row>
    <row r="9" spans="1:4">
      <c r="A9" t="s">
        <v>3</v>
      </c>
      <c r="B9" s="1">
        <v>7</v>
      </c>
      <c r="C9" s="1">
        <f t="shared" si="1"/>
        <v>333</v>
      </c>
      <c r="D9" s="3">
        <f t="shared" si="0"/>
        <v>0.96802325581395354</v>
      </c>
    </row>
    <row r="10" spans="1:4">
      <c r="A10" t="s">
        <v>7</v>
      </c>
      <c r="B10" s="1">
        <v>7</v>
      </c>
      <c r="C10" s="1">
        <f t="shared" si="1"/>
        <v>340</v>
      </c>
      <c r="D10" s="3">
        <f t="shared" si="0"/>
        <v>0.98837209302325579</v>
      </c>
    </row>
    <row r="11" spans="1:4">
      <c r="A11" t="s">
        <v>4</v>
      </c>
      <c r="B11" s="1">
        <v>4</v>
      </c>
      <c r="C11" s="1">
        <f t="shared" si="1"/>
        <v>344</v>
      </c>
      <c r="D11" s="3">
        <f t="shared" si="0"/>
        <v>1</v>
      </c>
    </row>
    <row r="17" spans="1:1">
      <c r="A17" s="4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</sheetData>
  <sortState ref="A2:B11">
    <sortCondition descending="1" ref="B2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7" sqref="A7"/>
    </sheetView>
  </sheetViews>
  <sheetFormatPr baseColWidth="10" defaultRowHeight="15" x14ac:dyDescent="0"/>
  <cols>
    <col min="1" max="1" width="11.5" bestFit="1" customWidth="1"/>
  </cols>
  <sheetData>
    <row r="1" spans="1:1">
      <c r="A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Pareto</vt:lpstr>
      <vt:lpstr>Ejercicio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Celia de León Sandoval</dc:creator>
  <cp:lastModifiedBy>Ana Celia de León Sandoval</cp:lastModifiedBy>
  <dcterms:created xsi:type="dcterms:W3CDTF">2017-07-04T04:22:15Z</dcterms:created>
  <dcterms:modified xsi:type="dcterms:W3CDTF">2022-01-27T03:24:21Z</dcterms:modified>
</cp:coreProperties>
</file>