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leon\Downloads\"/>
    </mc:Choice>
  </mc:AlternateContent>
  <xr:revisionPtr revIDLastSave="0" documentId="13_ncr:1_{8A87284A-8A3F-4842-92E6-043401536E0A}" xr6:coauthVersionLast="47" xr6:coauthVersionMax="47" xr10:uidLastSave="{00000000-0000-0000-0000-000000000000}"/>
  <bookViews>
    <workbookView xWindow="-120" yWindow="-120" windowWidth="20730" windowHeight="11160" activeTab="2" xr2:uid="{FA39A9F3-F783-473F-A119-28C1A222B1BA}"/>
  </bookViews>
  <sheets>
    <sheet name="Capítulo 3 Ejercicio 13" sheetId="1" r:id="rId1"/>
    <sheet name="Capítulo 3 Ejercicio 29" sheetId="2" r:id="rId2"/>
    <sheet name="binomial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" i="3" l="1"/>
  <c r="E12" i="3"/>
  <c r="D12" i="3"/>
  <c r="B12" i="3"/>
  <c r="C12" i="3"/>
  <c r="B10" i="2"/>
  <c r="B8" i="2"/>
  <c r="C7" i="2"/>
  <c r="D7" i="2"/>
  <c r="E7" i="2"/>
  <c r="F7" i="2"/>
  <c r="B7" i="2"/>
  <c r="B5" i="2"/>
  <c r="C4" i="2"/>
  <c r="D4" i="2"/>
  <c r="E4" i="2"/>
  <c r="F4" i="2"/>
  <c r="B4" i="2"/>
  <c r="C11" i="1"/>
  <c r="B11" i="1"/>
  <c r="B9" i="1"/>
  <c r="C8" i="1"/>
  <c r="D8" i="1"/>
  <c r="E8" i="1"/>
  <c r="F8" i="1"/>
  <c r="G8" i="1"/>
  <c r="H8" i="1"/>
  <c r="B8" i="1"/>
  <c r="B6" i="1"/>
  <c r="H15" i="1"/>
  <c r="G15" i="1" s="1"/>
  <c r="F15" i="1" s="1"/>
  <c r="E15" i="1" s="1"/>
  <c r="D15" i="1" s="1"/>
  <c r="C15" i="1" s="1"/>
  <c r="B15" i="1" s="1"/>
  <c r="C14" i="1"/>
  <c r="D14" i="1"/>
  <c r="E14" i="1"/>
  <c r="F14" i="1"/>
  <c r="G14" i="1"/>
  <c r="H14" i="1"/>
  <c r="B14" i="1"/>
  <c r="B3" i="1"/>
  <c r="C3" i="1" s="1"/>
  <c r="D3" i="1" s="1"/>
  <c r="E3" i="1" s="1"/>
  <c r="F3" i="1" s="1"/>
  <c r="G3" i="1" s="1"/>
  <c r="H3" i="1" s="1"/>
</calcChain>
</file>

<file path=xl/sharedStrings.xml><?xml version="1.0" encoding="utf-8"?>
<sst xmlns="http://schemas.openxmlformats.org/spreadsheetml/2006/main" count="78" uniqueCount="69">
  <si>
    <t>X</t>
  </si>
  <si>
    <t>P(x)</t>
  </si>
  <si>
    <t>F(x)</t>
  </si>
  <si>
    <t>a.</t>
  </si>
  <si>
    <t>{Cuando mucho tres líneas están en uso}</t>
  </si>
  <si>
    <t>x=</t>
  </si>
  <si>
    <t>líneas telfónicas en uso</t>
  </si>
  <si>
    <t>P(x&lt;=3) = P(0) + P(1) + P(2) + P(3) = F(3) = 0.70</t>
  </si>
  <si>
    <t>b.</t>
  </si>
  <si>
    <t>{Menos de tres líneas están en uso}</t>
  </si>
  <si>
    <t>P(x&lt;3) = P(0) + P(1) + P(2) = F(2) = 0.45</t>
  </si>
  <si>
    <t>c.</t>
  </si>
  <si>
    <t>{Por lo menos tres líneas están en uso}</t>
  </si>
  <si>
    <t>1 - 0.45 = 0.55</t>
  </si>
  <si>
    <t>d.</t>
  </si>
  <si>
    <t>{Entre 2 y 5 líneas inclusive están en uso}</t>
  </si>
  <si>
    <t>P(2&lt;=x&lt;=5) = F(5) - F(1) = 0.96 - 0.25 = 0.71</t>
  </si>
  <si>
    <t>e.</t>
  </si>
  <si>
    <t>Y</t>
  </si>
  <si>
    <t>y=</t>
  </si>
  <si>
    <t>líneas telfónicas que no están en uso</t>
  </si>
  <si>
    <t>P(y)</t>
  </si>
  <si>
    <t>F(y)</t>
  </si>
  <si>
    <t>P(2&lt;=y&lt;=4) = F(4) - F(1) = 0.75 - 0.10 = 0.65</t>
  </si>
  <si>
    <t xml:space="preserve">f. </t>
  </si>
  <si>
    <t>P(y&lt;=4) = F(4) = 0.75</t>
  </si>
  <si>
    <r>
      <t xml:space="preserve">{Por lo menos cuatro líneas </t>
    </r>
    <r>
      <rPr>
        <i/>
        <sz val="11"/>
        <color theme="1"/>
        <rFont val="Calibri"/>
        <family val="2"/>
        <scheme val="minor"/>
      </rPr>
      <t>no están en uso</t>
    </r>
    <r>
      <rPr>
        <sz val="11"/>
        <color theme="1"/>
        <rFont val="Calibri"/>
        <family val="2"/>
        <scheme val="minor"/>
      </rPr>
      <t>}</t>
    </r>
  </si>
  <si>
    <t>P(x&gt;=3) = P(3) + P(4) + P(5) + P(6) = 1 - F(2) = F(6) - F(2) =</t>
  </si>
  <si>
    <t>P(2&lt;=x&lt;=4) = F(4) - F(1) = 0.90 - 0.25 = 0.65</t>
  </si>
  <si>
    <t>P(x&gt;=2) = 1 - F(1) = 1 - 0.25 = 0.75</t>
  </si>
  <si>
    <t>P(2&lt;=x&lt;=4)  = P(2) + P(3) + P(4) = 0.20 + 0.25 + 0.20 = 0.65</t>
  </si>
  <si>
    <r>
      <t>{Entre 2 y 4 líneas inclusive,</t>
    </r>
    <r>
      <rPr>
        <b/>
        <sz val="11"/>
        <color theme="4" tint="-0.249977111117893"/>
        <rFont val="Calibri"/>
        <family val="2"/>
        <scheme val="minor"/>
      </rPr>
      <t xml:space="preserve"> </t>
    </r>
    <r>
      <rPr>
        <b/>
        <i/>
        <sz val="11"/>
        <color theme="4" tint="-0.249977111117893"/>
        <rFont val="Calibri"/>
        <family val="2"/>
        <scheme val="minor"/>
      </rPr>
      <t>no están en uso</t>
    </r>
    <r>
      <rPr>
        <b/>
        <sz val="11"/>
        <color theme="1"/>
        <rFont val="Calibri"/>
        <family val="2"/>
        <scheme val="minor"/>
      </rPr>
      <t>}</t>
    </r>
  </si>
  <si>
    <t>V(x) = ((0-2.64)^2)*0.10+ … +((6-2.64)^2)*0.04</t>
  </si>
  <si>
    <t>V(x) =</t>
  </si>
  <si>
    <t>líneas telfónicas en uso al cuadrado</t>
  </si>
  <si>
    <t>D. E. =</t>
  </si>
  <si>
    <t>raiz(V(x))</t>
  </si>
  <si>
    <r>
      <rPr>
        <b/>
        <sz val="11"/>
        <color theme="1"/>
        <rFont val="Calibri"/>
        <family val="2"/>
        <scheme val="minor"/>
      </rPr>
      <t>E(x) =</t>
    </r>
    <r>
      <rPr>
        <sz val="11"/>
        <color theme="1"/>
        <rFont val="Calibri"/>
        <family val="2"/>
        <scheme val="minor"/>
      </rPr>
      <t xml:space="preserve"> 0*0.10+1*0.15+2*0.20+3*0.25+4*0.20+5*0.06+6*0.04 = </t>
    </r>
  </si>
  <si>
    <t>E(x) =</t>
  </si>
  <si>
    <t>defectos</t>
  </si>
  <si>
    <t>V(x)=</t>
  </si>
  <si>
    <t>defectos al cuadrado</t>
  </si>
  <si>
    <t>n=</t>
  </si>
  <si>
    <t>lanzamientos de una moneda</t>
  </si>
  <si>
    <t xml:space="preserve">E= </t>
  </si>
  <si>
    <t>cara</t>
  </si>
  <si>
    <t>F=</t>
  </si>
  <si>
    <t>escudo</t>
  </si>
  <si>
    <t>P(E)=</t>
  </si>
  <si>
    <t xml:space="preserve">S = </t>
  </si>
  <si>
    <r>
      <t>EEE</t>
    </r>
    <r>
      <rPr>
        <sz val="11"/>
        <color theme="5" tint="-0.249977111117893"/>
        <rFont val="Calibri"/>
        <family val="2"/>
        <scheme val="minor"/>
      </rPr>
      <t>F</t>
    </r>
  </si>
  <si>
    <r>
      <t>EE</t>
    </r>
    <r>
      <rPr>
        <sz val="11"/>
        <color theme="5" tint="-0.249977111117893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E</t>
    </r>
  </si>
  <si>
    <r>
      <t>E</t>
    </r>
    <r>
      <rPr>
        <sz val="11"/>
        <color theme="5" tint="-0.249977111117893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EE</t>
    </r>
  </si>
  <si>
    <r>
      <rPr>
        <sz val="11"/>
        <color theme="5" tint="-0.249977111117893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EEE</t>
    </r>
  </si>
  <si>
    <r>
      <t>EE</t>
    </r>
    <r>
      <rPr>
        <sz val="11"/>
        <color theme="5" tint="-0.249977111117893"/>
        <rFont val="Calibri"/>
        <family val="2"/>
        <scheme val="minor"/>
      </rPr>
      <t>FF</t>
    </r>
  </si>
  <si>
    <r>
      <t>E</t>
    </r>
    <r>
      <rPr>
        <sz val="11"/>
        <color theme="5" tint="-0.249977111117893"/>
        <rFont val="Calibri"/>
        <family val="2"/>
        <scheme val="minor"/>
      </rPr>
      <t>FF</t>
    </r>
    <r>
      <rPr>
        <sz val="11"/>
        <color theme="1"/>
        <rFont val="Calibri"/>
        <family val="2"/>
        <scheme val="minor"/>
      </rPr>
      <t>E</t>
    </r>
  </si>
  <si>
    <r>
      <rPr>
        <sz val="11"/>
        <color theme="5" tint="-0.249977111117893"/>
        <rFont val="Calibri"/>
        <family val="2"/>
        <scheme val="minor"/>
      </rPr>
      <t>FF</t>
    </r>
    <r>
      <rPr>
        <sz val="11"/>
        <color theme="1"/>
        <rFont val="Calibri"/>
        <family val="2"/>
        <scheme val="minor"/>
      </rPr>
      <t>EE</t>
    </r>
  </si>
  <si>
    <r>
      <t>E</t>
    </r>
    <r>
      <rPr>
        <sz val="11"/>
        <color theme="5" tint="-0.249977111117893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E</t>
    </r>
    <r>
      <rPr>
        <sz val="11"/>
        <color theme="5" tint="-0.249977111117893"/>
        <rFont val="Calibri"/>
        <family val="2"/>
        <scheme val="minor"/>
      </rPr>
      <t>F</t>
    </r>
  </si>
  <si>
    <r>
      <rPr>
        <sz val="11"/>
        <color theme="5" tint="-0.249977111117893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E</t>
    </r>
    <r>
      <rPr>
        <sz val="11"/>
        <color theme="5" tint="-0.249977111117893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E</t>
    </r>
  </si>
  <si>
    <r>
      <rPr>
        <sz val="11"/>
        <color theme="5" tint="-0.249977111117893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EE</t>
    </r>
    <r>
      <rPr>
        <sz val="11"/>
        <color theme="5" tint="-0.249977111117893"/>
        <rFont val="Calibri"/>
        <family val="2"/>
        <scheme val="minor"/>
      </rPr>
      <t>F</t>
    </r>
  </si>
  <si>
    <t xml:space="preserve">X= </t>
  </si>
  <si>
    <t>x</t>
  </si>
  <si>
    <r>
      <rPr>
        <sz val="11"/>
        <color theme="5" tint="-0.249977111117893"/>
        <rFont val="Calibri"/>
        <family val="2"/>
        <scheme val="minor"/>
      </rPr>
      <t>FFF</t>
    </r>
    <r>
      <rPr>
        <sz val="11"/>
        <color theme="1"/>
        <rFont val="Calibri"/>
        <family val="2"/>
        <scheme val="minor"/>
      </rPr>
      <t>E</t>
    </r>
  </si>
  <si>
    <r>
      <rPr>
        <sz val="11"/>
        <color theme="5" tint="-0.249977111117893"/>
        <rFont val="Calibri"/>
        <family val="2"/>
        <scheme val="minor"/>
      </rPr>
      <t>FF</t>
    </r>
    <r>
      <rPr>
        <sz val="11"/>
        <color theme="1"/>
        <rFont val="Calibri"/>
        <family val="2"/>
        <scheme val="minor"/>
      </rPr>
      <t>E</t>
    </r>
    <r>
      <rPr>
        <sz val="11"/>
        <color theme="5" tint="-0.249977111117893"/>
        <rFont val="Calibri"/>
        <family val="2"/>
        <scheme val="minor"/>
      </rPr>
      <t>F</t>
    </r>
  </si>
  <si>
    <r>
      <rPr>
        <sz val="11"/>
        <color theme="5" tint="-0.249977111117893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E</t>
    </r>
    <r>
      <rPr>
        <sz val="11"/>
        <color theme="5" tint="-0.249977111117893"/>
        <rFont val="Calibri"/>
        <family val="2"/>
        <scheme val="minor"/>
      </rPr>
      <t>FF</t>
    </r>
  </si>
  <si>
    <r>
      <t>E</t>
    </r>
    <r>
      <rPr>
        <sz val="11"/>
        <color theme="5" tint="-0.249977111117893"/>
        <rFont val="Calibri"/>
        <family val="2"/>
        <scheme val="minor"/>
      </rPr>
      <t>FFF</t>
    </r>
  </si>
  <si>
    <t>{EEEE</t>
  </si>
  <si>
    <r>
      <t>FFFF</t>
    </r>
    <r>
      <rPr>
        <sz val="11"/>
        <rFont val="Calibri"/>
        <family val="2"/>
        <scheme val="minor"/>
      </rPr>
      <t>}</t>
    </r>
  </si>
  <si>
    <t>x=número de éxitos en 4 lanzamientos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</si>
</sst>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0" fillId="2" borderId="0" xfId="0" applyFill="1"/>
    <xf numFmtId="0" fontId="0" fillId="2" borderId="0" xfId="0" applyFill="1" applyAlignment="1">
      <alignment horizontal="center"/>
    </xf>
    <xf numFmtId="2" fontId="0" fillId="2" borderId="0" xfId="0" applyNumberFormat="1" applyFill="1" applyAlignment="1">
      <alignment horizontal="center"/>
    </xf>
    <xf numFmtId="2" fontId="3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0" fontId="5" fillId="2" borderId="0" xfId="0" applyFont="1" applyFill="1"/>
    <xf numFmtId="0" fontId="7" fillId="2" borderId="0" xfId="0" applyFont="1" applyFill="1" applyAlignment="1">
      <alignment horizontal="center"/>
    </xf>
    <xf numFmtId="2" fontId="7" fillId="2" borderId="0" xfId="0" applyNumberFormat="1" applyFont="1" applyFill="1" applyAlignment="1">
      <alignment horizontal="center"/>
    </xf>
    <xf numFmtId="0" fontId="7" fillId="2" borderId="0" xfId="0" applyFont="1" applyFill="1"/>
    <xf numFmtId="0" fontId="0" fillId="3" borderId="0" xfId="0" applyFill="1" applyAlignment="1">
      <alignment horizontal="center"/>
    </xf>
    <xf numFmtId="0" fontId="4" fillId="0" borderId="0" xfId="0" applyFont="1"/>
    <xf numFmtId="0" fontId="0" fillId="0" borderId="0" xfId="0" applyAlignment="1">
      <alignment horizontal="left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GT" sz="1000" b="1"/>
              <a:t>fmp</a:t>
            </a:r>
            <a:r>
              <a:rPr lang="es-GT" sz="1000" baseline="0"/>
              <a:t> l</a:t>
            </a:r>
            <a:r>
              <a:rPr lang="es-GT" sz="1000"/>
              <a:t>íneas telefónicas en uso</a:t>
            </a:r>
          </a:p>
        </c:rich>
      </c:tx>
      <c:layout>
        <c:manualLayout>
          <c:xMode val="edge"/>
          <c:yMode val="edge"/>
          <c:x val="0.21680478498021866"/>
          <c:y val="5.26645716027377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5B6-4CBB-8D76-CB4124467BD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5B6-4CBB-8D76-CB4124467BD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5B6-4CBB-8D76-CB4124467BD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5B6-4CBB-8D76-CB4124467BD9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5B6-4CBB-8D76-CB4124467BD9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5B6-4CBB-8D76-CB4124467BD9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15B6-4CBB-8D76-CB4124467BD9}"/>
              </c:ext>
            </c:extLst>
          </c:dPt>
          <c:cat>
            <c:numRef>
              <c:f>'Capítulo 3 Ejercicio 13'!$B$1:$H$1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'Capítulo 3 Ejercicio 13'!$B$2:$H$2</c:f>
              <c:numCache>
                <c:formatCode>0.00</c:formatCode>
                <c:ptCount val="7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0.2</c:v>
                </c:pt>
                <c:pt idx="5">
                  <c:v>0.06</c:v>
                </c:pt>
                <c:pt idx="6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B6-4CBB-8D76-CB4124467B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3323919"/>
        <c:axId val="1563325583"/>
      </c:barChart>
      <c:catAx>
        <c:axId val="1563323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1563325583"/>
        <c:crosses val="autoZero"/>
        <c:auto val="1"/>
        <c:lblAlgn val="ctr"/>
        <c:lblOffset val="100"/>
        <c:noMultiLvlLbl val="0"/>
      </c:catAx>
      <c:valAx>
        <c:axId val="1563325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1563323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593058</xdr:colOff>
      <xdr:row>16</xdr:row>
      <xdr:rowOff>83909</xdr:rowOff>
    </xdr:from>
    <xdr:to>
      <xdr:col>6</xdr:col>
      <xdr:colOff>421821</xdr:colOff>
      <xdr:row>24</xdr:row>
      <xdr:rowOff>6802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5FA1B13-642A-4E82-96BC-867115FFCA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5CB0D-C79B-4C66-A647-4BCF99C49CCC}">
  <dimension ref="A1:K18"/>
  <sheetViews>
    <sheetView zoomScale="140" zoomScaleNormal="140" workbookViewId="0">
      <selection activeCell="B11" sqref="B11"/>
    </sheetView>
  </sheetViews>
  <sheetFormatPr baseColWidth="10" defaultRowHeight="15" x14ac:dyDescent="0.25"/>
  <cols>
    <col min="1" max="1" width="11.42578125" style="6"/>
    <col min="2" max="8" width="6.42578125" style="6" customWidth="1"/>
    <col min="9" max="9" width="2.85546875" style="6" customWidth="1"/>
    <col min="10" max="10" width="2.5703125" style="6" bestFit="1" customWidth="1"/>
    <col min="11" max="16384" width="11.42578125" style="6"/>
  </cols>
  <sheetData>
    <row r="1" spans="1:11" x14ac:dyDescent="0.25">
      <c r="A1" s="4" t="s">
        <v>0</v>
      </c>
      <c r="B1" s="4">
        <v>0</v>
      </c>
      <c r="C1" s="4">
        <v>1</v>
      </c>
      <c r="D1" s="4">
        <v>2</v>
      </c>
      <c r="E1" s="10">
        <v>3</v>
      </c>
      <c r="F1" s="10">
        <v>4</v>
      </c>
      <c r="G1" s="10">
        <v>5</v>
      </c>
      <c r="H1" s="10">
        <v>6</v>
      </c>
      <c r="I1" s="4"/>
      <c r="J1" s="5" t="s">
        <v>5</v>
      </c>
      <c r="K1" s="5" t="s">
        <v>6</v>
      </c>
    </row>
    <row r="2" spans="1:11" x14ac:dyDescent="0.25">
      <c r="A2" s="7" t="s">
        <v>1</v>
      </c>
      <c r="B2" s="8">
        <v>0.1</v>
      </c>
      <c r="C2" s="8">
        <v>0.15</v>
      </c>
      <c r="D2" s="8">
        <v>0.2</v>
      </c>
      <c r="E2" s="8">
        <v>0.25</v>
      </c>
      <c r="F2" s="8">
        <v>0.2</v>
      </c>
      <c r="G2" s="8">
        <v>0.06</v>
      </c>
      <c r="H2" s="8">
        <v>0.04</v>
      </c>
      <c r="I2" s="8"/>
      <c r="J2" s="5" t="s">
        <v>19</v>
      </c>
      <c r="K2" s="5" t="s">
        <v>20</v>
      </c>
    </row>
    <row r="3" spans="1:11" x14ac:dyDescent="0.25">
      <c r="A3" s="7" t="s">
        <v>2</v>
      </c>
      <c r="B3" s="9">
        <f>B2</f>
        <v>0.1</v>
      </c>
      <c r="C3" s="9">
        <f t="shared" ref="C3:H3" si="0">C2+B3</f>
        <v>0.25</v>
      </c>
      <c r="D3" s="9">
        <f t="shared" si="0"/>
        <v>0.45</v>
      </c>
      <c r="E3" s="8">
        <f t="shared" si="0"/>
        <v>0.7</v>
      </c>
      <c r="F3" s="8">
        <f t="shared" si="0"/>
        <v>0.89999999999999991</v>
      </c>
      <c r="G3" s="8">
        <f t="shared" si="0"/>
        <v>0.96</v>
      </c>
      <c r="H3" s="9">
        <f t="shared" si="0"/>
        <v>1</v>
      </c>
      <c r="I3" s="8"/>
      <c r="J3" s="6" t="s">
        <v>3</v>
      </c>
      <c r="K3" s="6" t="s">
        <v>4</v>
      </c>
    </row>
    <row r="4" spans="1:11" x14ac:dyDescent="0.25">
      <c r="K4" s="6" t="s">
        <v>7</v>
      </c>
    </row>
    <row r="5" spans="1:11" x14ac:dyDescent="0.25">
      <c r="A5" s="6" t="s">
        <v>37</v>
      </c>
      <c r="J5" s="6" t="s">
        <v>8</v>
      </c>
      <c r="K5" s="6" t="s">
        <v>9</v>
      </c>
    </row>
    <row r="6" spans="1:11" x14ac:dyDescent="0.25">
      <c r="B6" s="5">
        <f>0*0.1+1*0.15+2*0.2+3*0.25+4*0.2+5*0.06+6*0.04</f>
        <v>2.6399999999999997</v>
      </c>
      <c r="C6" s="5" t="s">
        <v>6</v>
      </c>
      <c r="K6" s="6" t="s">
        <v>10</v>
      </c>
    </row>
    <row r="7" spans="1:11" x14ac:dyDescent="0.25">
      <c r="A7" s="6" t="s">
        <v>32</v>
      </c>
      <c r="J7" s="5" t="s">
        <v>11</v>
      </c>
      <c r="K7" s="5" t="s">
        <v>12</v>
      </c>
    </row>
    <row r="8" spans="1:11" x14ac:dyDescent="0.25">
      <c r="B8" s="6">
        <f>((B1-$B$6)^2)*B2</f>
        <v>0.6969599999999998</v>
      </c>
      <c r="C8" s="6">
        <f t="shared" ref="C8:H8" si="1">((C1-$B$6)^2)*C2</f>
        <v>0.40343999999999985</v>
      </c>
      <c r="D8" s="6">
        <f t="shared" si="1"/>
        <v>8.1919999999999923E-2</v>
      </c>
      <c r="E8" s="6">
        <f t="shared" si="1"/>
        <v>3.2400000000000061E-2</v>
      </c>
      <c r="F8" s="6">
        <f t="shared" si="1"/>
        <v>0.36992000000000019</v>
      </c>
      <c r="G8" s="6">
        <f t="shared" si="1"/>
        <v>0.33417600000000008</v>
      </c>
      <c r="H8" s="6">
        <f t="shared" si="1"/>
        <v>0.4515840000000001</v>
      </c>
      <c r="J8" s="5"/>
      <c r="K8" s="5" t="s">
        <v>27</v>
      </c>
    </row>
    <row r="9" spans="1:11" x14ac:dyDescent="0.25">
      <c r="A9" s="5" t="s">
        <v>33</v>
      </c>
      <c r="B9" s="5">
        <f>SUM(B8:H8)</f>
        <v>2.3704000000000001</v>
      </c>
      <c r="C9" s="5" t="s">
        <v>34</v>
      </c>
      <c r="J9" s="5"/>
      <c r="K9" s="5" t="s">
        <v>13</v>
      </c>
    </row>
    <row r="10" spans="1:11" x14ac:dyDescent="0.25">
      <c r="A10" s="6" t="s">
        <v>35</v>
      </c>
      <c r="B10" s="6" t="s">
        <v>36</v>
      </c>
      <c r="J10" s="5" t="s">
        <v>14</v>
      </c>
      <c r="K10" s="5" t="s">
        <v>15</v>
      </c>
    </row>
    <row r="11" spans="1:11" x14ac:dyDescent="0.25">
      <c r="A11" s="5" t="s">
        <v>35</v>
      </c>
      <c r="B11" s="5">
        <f>SQRT(B9)</f>
        <v>1.5396103403134185</v>
      </c>
      <c r="C11" s="5" t="str">
        <f>C6</f>
        <v>líneas telfónicas en uso</v>
      </c>
      <c r="J11" s="5"/>
      <c r="K11" s="5" t="s">
        <v>16</v>
      </c>
    </row>
    <row r="12" spans="1:11" x14ac:dyDescent="0.25">
      <c r="I12" s="5"/>
      <c r="J12" s="5" t="s">
        <v>17</v>
      </c>
      <c r="K12" s="5" t="s">
        <v>31</v>
      </c>
    </row>
    <row r="13" spans="1:11" x14ac:dyDescent="0.25">
      <c r="A13" s="4" t="s">
        <v>18</v>
      </c>
      <c r="B13" s="4">
        <v>6</v>
      </c>
      <c r="C13" s="4">
        <v>5</v>
      </c>
      <c r="D13" s="4">
        <v>4</v>
      </c>
      <c r="E13" s="4">
        <v>3</v>
      </c>
      <c r="F13" s="4">
        <v>2</v>
      </c>
      <c r="G13" s="4">
        <v>1</v>
      </c>
      <c r="H13" s="4">
        <v>0</v>
      </c>
      <c r="I13" s="5"/>
      <c r="J13" s="5"/>
      <c r="K13" s="11" t="s">
        <v>23</v>
      </c>
    </row>
    <row r="14" spans="1:11" x14ac:dyDescent="0.25">
      <c r="A14" s="7" t="s">
        <v>21</v>
      </c>
      <c r="B14" s="8">
        <f t="shared" ref="B14:H14" si="2">B2</f>
        <v>0.1</v>
      </c>
      <c r="C14" s="8">
        <f t="shared" si="2"/>
        <v>0.15</v>
      </c>
      <c r="D14" s="8">
        <f t="shared" si="2"/>
        <v>0.2</v>
      </c>
      <c r="E14" s="8">
        <f t="shared" si="2"/>
        <v>0.25</v>
      </c>
      <c r="F14" s="8">
        <f t="shared" si="2"/>
        <v>0.2</v>
      </c>
      <c r="G14" s="8">
        <f t="shared" si="2"/>
        <v>0.06</v>
      </c>
      <c r="H14" s="8">
        <f t="shared" si="2"/>
        <v>0.04</v>
      </c>
      <c r="K14" s="5" t="s">
        <v>28</v>
      </c>
    </row>
    <row r="15" spans="1:11" x14ac:dyDescent="0.25">
      <c r="A15" s="7" t="s">
        <v>22</v>
      </c>
      <c r="B15" s="8">
        <f t="shared" ref="B15:G15" si="3">B14+C15</f>
        <v>1</v>
      </c>
      <c r="C15" s="8">
        <f t="shared" si="3"/>
        <v>0.9</v>
      </c>
      <c r="D15" s="8">
        <f t="shared" si="3"/>
        <v>0.75</v>
      </c>
      <c r="E15" s="8">
        <f t="shared" si="3"/>
        <v>0.55000000000000004</v>
      </c>
      <c r="F15" s="8">
        <f t="shared" si="3"/>
        <v>0.30000000000000004</v>
      </c>
      <c r="G15" s="8">
        <f t="shared" si="3"/>
        <v>0.1</v>
      </c>
      <c r="H15" s="8">
        <f>H14</f>
        <v>0.04</v>
      </c>
      <c r="K15" s="12" t="s">
        <v>30</v>
      </c>
    </row>
    <row r="16" spans="1:11" x14ac:dyDescent="0.25">
      <c r="J16" s="6" t="s">
        <v>24</v>
      </c>
      <c r="K16" s="6" t="s">
        <v>26</v>
      </c>
    </row>
    <row r="17" spans="11:11" x14ac:dyDescent="0.25">
      <c r="K17" s="6" t="s">
        <v>25</v>
      </c>
    </row>
    <row r="18" spans="11:11" x14ac:dyDescent="0.25">
      <c r="K18" s="11" t="s">
        <v>29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01B05-8FEC-4E35-B1B7-AAF73514F1FE}">
  <dimension ref="A1:F10"/>
  <sheetViews>
    <sheetView zoomScale="190" zoomScaleNormal="190" workbookViewId="0">
      <selection activeCell="B10" sqref="B10"/>
    </sheetView>
  </sheetViews>
  <sheetFormatPr baseColWidth="10" defaultRowHeight="15" x14ac:dyDescent="0.25"/>
  <cols>
    <col min="1" max="16384" width="11.42578125" style="15"/>
  </cols>
  <sheetData>
    <row r="1" spans="1:6" x14ac:dyDescent="0.25">
      <c r="A1" s="13" t="s">
        <v>0</v>
      </c>
      <c r="B1" s="13">
        <v>0</v>
      </c>
      <c r="C1" s="13">
        <v>1</v>
      </c>
      <c r="D1" s="13">
        <v>2</v>
      </c>
      <c r="E1" s="13">
        <v>3</v>
      </c>
      <c r="F1" s="13">
        <v>4</v>
      </c>
    </row>
    <row r="2" spans="1:6" x14ac:dyDescent="0.25">
      <c r="A2" s="13" t="s">
        <v>1</v>
      </c>
      <c r="B2" s="14">
        <v>0.08</v>
      </c>
      <c r="C2" s="14">
        <v>0.15</v>
      </c>
      <c r="D2" s="14">
        <v>0.45</v>
      </c>
      <c r="E2" s="14">
        <v>0.27</v>
      </c>
      <c r="F2" s="13">
        <v>0.05</v>
      </c>
    </row>
    <row r="4" spans="1:6" x14ac:dyDescent="0.25">
      <c r="A4" s="15" t="s">
        <v>38</v>
      </c>
      <c r="B4" s="13">
        <f>B1*B2</f>
        <v>0</v>
      </c>
      <c r="C4" s="13">
        <f>C1*C2</f>
        <v>0.15</v>
      </c>
      <c r="D4" s="13">
        <f>D1*D2</f>
        <v>0.9</v>
      </c>
      <c r="E4" s="13">
        <f>E1*E2</f>
        <v>0.81</v>
      </c>
      <c r="F4" s="13">
        <f>F1*F2</f>
        <v>0.2</v>
      </c>
    </row>
    <row r="5" spans="1:6" x14ac:dyDescent="0.25">
      <c r="A5" s="15" t="s">
        <v>38</v>
      </c>
      <c r="B5" s="13">
        <f>SUM(B4:F4)</f>
        <v>2.06</v>
      </c>
      <c r="C5" s="15" t="s">
        <v>39</v>
      </c>
    </row>
    <row r="7" spans="1:6" x14ac:dyDescent="0.25">
      <c r="A7" s="15" t="s">
        <v>40</v>
      </c>
      <c r="B7" s="14">
        <f>((B1-$B$5)^2)*B2</f>
        <v>0.33948800000000001</v>
      </c>
      <c r="C7" s="14">
        <f>((C1-$B$5)^2)*C2</f>
        <v>0.16854000000000002</v>
      </c>
      <c r="D7" s="14">
        <f>((D1-$B$5)^2)*D2</f>
        <v>1.6200000000000029E-3</v>
      </c>
      <c r="E7" s="14">
        <f>((E1-$B$5)^2)*E2</f>
        <v>0.23857200000000001</v>
      </c>
      <c r="F7" s="14">
        <f>((F1-$B$5)^2)*F2</f>
        <v>0.18818000000000001</v>
      </c>
    </row>
    <row r="8" spans="1:6" x14ac:dyDescent="0.25">
      <c r="A8" s="15" t="s">
        <v>40</v>
      </c>
      <c r="B8" s="14">
        <f>SUM(B7:F7)</f>
        <v>0.93640000000000001</v>
      </c>
      <c r="C8" s="15" t="s">
        <v>41</v>
      </c>
    </row>
    <row r="10" spans="1:6" x14ac:dyDescent="0.25">
      <c r="A10" s="15" t="s">
        <v>35</v>
      </c>
      <c r="B10" s="14">
        <f>SQRT(B8)</f>
        <v>0.96767763227223558</v>
      </c>
      <c r="C10" s="15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E076C-D7D5-4327-A448-63FA85B765CC}">
  <dimension ref="A1:R12"/>
  <sheetViews>
    <sheetView tabSelected="1" zoomScale="160" zoomScaleNormal="160" workbookViewId="0">
      <selection activeCell="A12" sqref="A12"/>
    </sheetView>
  </sheetViews>
  <sheetFormatPr baseColWidth="10" defaultRowHeight="15" x14ac:dyDescent="0.25"/>
  <cols>
    <col min="1" max="1" width="5.5703125" bestFit="1" customWidth="1"/>
    <col min="2" max="2" width="4.5703125" bestFit="1" customWidth="1"/>
    <col min="3" max="18" width="5.85546875" customWidth="1"/>
  </cols>
  <sheetData>
    <row r="1" spans="1:18" x14ac:dyDescent="0.25">
      <c r="A1" s="3" t="s">
        <v>42</v>
      </c>
      <c r="B1" s="2">
        <v>4</v>
      </c>
      <c r="C1" t="s">
        <v>43</v>
      </c>
    </row>
    <row r="2" spans="1:18" x14ac:dyDescent="0.25">
      <c r="A2" t="s">
        <v>44</v>
      </c>
      <c r="C2" t="s">
        <v>45</v>
      </c>
    </row>
    <row r="3" spans="1:18" x14ac:dyDescent="0.25">
      <c r="A3" t="s">
        <v>46</v>
      </c>
      <c r="C3" t="s">
        <v>47</v>
      </c>
    </row>
    <row r="4" spans="1:18" x14ac:dyDescent="0.25">
      <c r="A4" t="s">
        <v>48</v>
      </c>
      <c r="C4" s="18">
        <v>0.5</v>
      </c>
    </row>
    <row r="5" spans="1:18" x14ac:dyDescent="0.25">
      <c r="A5" t="s">
        <v>68</v>
      </c>
    </row>
    <row r="8" spans="1:18" x14ac:dyDescent="0.25">
      <c r="A8" t="s">
        <v>49</v>
      </c>
      <c r="C8" t="s">
        <v>66</v>
      </c>
      <c r="D8" t="s">
        <v>50</v>
      </c>
      <c r="E8" t="s">
        <v>51</v>
      </c>
      <c r="F8" t="s">
        <v>52</v>
      </c>
      <c r="G8" t="s">
        <v>53</v>
      </c>
      <c r="H8" t="s">
        <v>54</v>
      </c>
      <c r="I8" t="s">
        <v>55</v>
      </c>
      <c r="J8" t="s">
        <v>56</v>
      </c>
      <c r="K8" t="s">
        <v>57</v>
      </c>
      <c r="L8" t="s">
        <v>58</v>
      </c>
      <c r="M8" t="s">
        <v>59</v>
      </c>
      <c r="N8" t="s">
        <v>62</v>
      </c>
      <c r="O8" t="s">
        <v>63</v>
      </c>
      <c r="P8" t="s">
        <v>64</v>
      </c>
      <c r="Q8" t="s">
        <v>65</v>
      </c>
      <c r="R8" s="17" t="s">
        <v>67</v>
      </c>
    </row>
    <row r="9" spans="1:18" x14ac:dyDescent="0.25">
      <c r="A9" t="s">
        <v>60</v>
      </c>
      <c r="C9" s="1">
        <v>4</v>
      </c>
      <c r="D9" s="1">
        <v>3</v>
      </c>
      <c r="E9" s="1">
        <v>3</v>
      </c>
      <c r="F9" s="1">
        <v>3</v>
      </c>
      <c r="G9" s="1">
        <v>3</v>
      </c>
      <c r="H9" s="1">
        <v>2</v>
      </c>
      <c r="I9" s="1">
        <v>2</v>
      </c>
      <c r="J9" s="1">
        <v>2</v>
      </c>
      <c r="K9" s="1">
        <v>2</v>
      </c>
      <c r="L9" s="1">
        <v>2</v>
      </c>
      <c r="M9" s="1">
        <v>2</v>
      </c>
      <c r="N9" s="16">
        <v>1</v>
      </c>
      <c r="O9" s="16">
        <v>1</v>
      </c>
      <c r="P9" s="16">
        <v>1</v>
      </c>
      <c r="Q9" s="16">
        <v>1</v>
      </c>
      <c r="R9" s="1">
        <v>0</v>
      </c>
    </row>
    <row r="11" spans="1:18" x14ac:dyDescent="0.25">
      <c r="A11" s="3" t="s">
        <v>61</v>
      </c>
      <c r="B11" s="2">
        <v>0</v>
      </c>
      <c r="C11" s="2">
        <v>1</v>
      </c>
      <c r="D11" s="2">
        <v>2</v>
      </c>
      <c r="E11" s="2">
        <v>3</v>
      </c>
      <c r="F11" s="2">
        <v>4</v>
      </c>
    </row>
    <row r="12" spans="1:18" x14ac:dyDescent="0.25">
      <c r="A12" s="3" t="s">
        <v>1</v>
      </c>
      <c r="B12" s="19">
        <f>0.5^4</f>
        <v>6.25E-2</v>
      </c>
      <c r="C12" s="19">
        <f>4*(0.5^1)*(0.5^3)</f>
        <v>0.25</v>
      </c>
      <c r="D12" s="19">
        <f>6*(0.5^2)*(0.5^2)</f>
        <v>0.375</v>
      </c>
      <c r="E12" s="19">
        <f>4*(0.5^3)*0.5</f>
        <v>0.25</v>
      </c>
      <c r="F12" s="19">
        <f>0.5^4</f>
        <v>6.25E-2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Capítulo 3 Ejercicio 13</vt:lpstr>
      <vt:lpstr>Capítulo 3 Ejercicio 29</vt:lpstr>
      <vt:lpstr>binomial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CELIA DE LEON</dc:creator>
  <cp:lastModifiedBy>ANA CELIA DE LEON</cp:lastModifiedBy>
  <dcterms:created xsi:type="dcterms:W3CDTF">2022-03-10T17:58:37Z</dcterms:created>
  <dcterms:modified xsi:type="dcterms:W3CDTF">2022-03-10T23:40:00Z</dcterms:modified>
</cp:coreProperties>
</file>