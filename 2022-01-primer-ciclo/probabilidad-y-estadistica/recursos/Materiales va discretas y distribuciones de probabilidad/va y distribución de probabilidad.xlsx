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426"/>
  <workbookPr showInkAnnotation="0" autoCompressPictures="0"/>
  <bookViews>
    <workbookView xWindow="0" yWindow="0" windowWidth="23040" windowHeight="12900" tabRatio="500"/>
  </bookViews>
  <sheets>
    <sheet name="Hoja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45" i="1" l="1"/>
  <c r="R43" i="1"/>
  <c r="Q43" i="1"/>
  <c r="P43" i="1"/>
  <c r="O43" i="1"/>
  <c r="N43" i="1"/>
  <c r="M43" i="1"/>
  <c r="L43" i="1"/>
  <c r="K43" i="1"/>
  <c r="Q42" i="1"/>
  <c r="P42" i="1"/>
  <c r="O42" i="1"/>
  <c r="N42" i="1"/>
  <c r="M42" i="1"/>
  <c r="L42" i="1"/>
  <c r="K42" i="1"/>
  <c r="Q41" i="1"/>
  <c r="P41" i="1"/>
  <c r="O41" i="1"/>
  <c r="N41" i="1"/>
  <c r="M41" i="1"/>
  <c r="L41" i="1"/>
  <c r="K41" i="1"/>
  <c r="R36" i="1"/>
  <c r="Q36" i="1"/>
  <c r="P36" i="1"/>
  <c r="O36" i="1"/>
  <c r="N36" i="1"/>
  <c r="M36" i="1"/>
  <c r="L36" i="1"/>
  <c r="K36" i="1"/>
  <c r="B36" i="1"/>
  <c r="C36" i="1"/>
  <c r="D36" i="1"/>
  <c r="E36" i="1"/>
  <c r="F36" i="1"/>
  <c r="G36" i="1"/>
  <c r="H36" i="1"/>
  <c r="B11" i="1"/>
  <c r="C11" i="1"/>
  <c r="D11" i="1"/>
  <c r="E11" i="1"/>
  <c r="F11" i="1"/>
  <c r="G11" i="1"/>
  <c r="H11" i="1"/>
</calcChain>
</file>

<file path=xl/sharedStrings.xml><?xml version="1.0" encoding="utf-8"?>
<sst xmlns="http://schemas.openxmlformats.org/spreadsheetml/2006/main" count="17" uniqueCount="10">
  <si>
    <t>x</t>
  </si>
  <si>
    <t>p(x)</t>
  </si>
  <si>
    <t>F(x)</t>
  </si>
  <si>
    <t>x*p(x)</t>
  </si>
  <si>
    <t>E(x)</t>
  </si>
  <si>
    <t>E(x)-x</t>
  </si>
  <si>
    <t>Al cuadrado</t>
  </si>
  <si>
    <t>Por p(x)</t>
  </si>
  <si>
    <t>V(x)</t>
  </si>
  <si>
    <t>Desviación estándar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</si>
</sst>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Libian SC Regular"/>
    </font>
    <font>
      <b/>
      <sz val="14"/>
      <color theme="1"/>
      <name val="Libian SC Regula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theme="8" tint="-0.249977111117893"/>
      </left>
      <right/>
      <top style="medium">
        <color theme="8" tint="-0.249977111117893"/>
      </top>
      <bottom style="medium">
        <color theme="8" tint="-0.249977111117893"/>
      </bottom>
      <diagonal/>
    </border>
    <border>
      <left/>
      <right/>
      <top style="medium">
        <color theme="8" tint="-0.249977111117893"/>
      </top>
      <bottom style="medium">
        <color theme="8" tint="-0.249977111117893"/>
      </bottom>
      <diagonal/>
    </border>
    <border>
      <left/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/>
      <right/>
      <top/>
      <bottom style="medium">
        <color theme="8" tint="-0.249977111117893"/>
      </bottom>
      <diagonal/>
    </border>
    <border>
      <left style="thick">
        <color theme="7" tint="-0.249977111117893"/>
      </left>
      <right style="thick">
        <color theme="7" tint="-0.249977111117893"/>
      </right>
      <top style="medium">
        <color theme="8" tint="-0.249977111117893"/>
      </top>
      <bottom style="thick">
        <color theme="7" tint="-0.249977111117893"/>
      </bottom>
      <diagonal/>
    </border>
    <border>
      <left style="thick">
        <color theme="7" tint="-0.249977111117893"/>
      </left>
      <right style="thick">
        <color theme="7" tint="-0.249977111117893"/>
      </right>
      <top style="thick">
        <color theme="7" tint="-0.249977111117893"/>
      </top>
      <bottom style="thick">
        <color theme="7" tint="-0.249977111117893"/>
      </bottom>
      <diagonal/>
    </border>
  </borders>
  <cellStyleXfs count="8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/>
    </xf>
  </cellXfs>
  <cellStyles count="87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Hoja1!$B$10:$H$10</c:f>
              <c:numCache>
                <c:formatCode>0.00</c:formatCode>
                <c:ptCount val="7"/>
                <c:pt idx="0">
                  <c:v>0.01</c:v>
                </c:pt>
                <c:pt idx="1">
                  <c:v>0.03</c:v>
                </c:pt>
                <c:pt idx="2">
                  <c:v>0.13</c:v>
                </c:pt>
                <c:pt idx="3">
                  <c:v>0.25</c:v>
                </c:pt>
                <c:pt idx="4">
                  <c:v>0.39</c:v>
                </c:pt>
                <c:pt idx="5">
                  <c:v>0.17</c:v>
                </c:pt>
                <c:pt idx="6">
                  <c:v>0.02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7576408"/>
        <c:axId val="2127580408"/>
      </c:barChart>
      <c:catAx>
        <c:axId val="2127576408"/>
        <c:scaling>
          <c:orientation val="minMax"/>
        </c:scaling>
        <c:delete val="0"/>
        <c:axPos val="b"/>
        <c:majorTickMark val="out"/>
        <c:minorTickMark val="none"/>
        <c:tickLblPos val="nextTo"/>
        <c:crossAx val="2127580408"/>
        <c:crosses val="autoZero"/>
        <c:auto val="1"/>
        <c:lblAlgn val="ctr"/>
        <c:lblOffset val="100"/>
        <c:noMultiLvlLbl val="0"/>
      </c:catAx>
      <c:valAx>
        <c:axId val="21275804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1275764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Hoja1!$B$11:$H$11</c:f>
              <c:numCache>
                <c:formatCode>0.00</c:formatCode>
                <c:ptCount val="7"/>
                <c:pt idx="0">
                  <c:v>0.01</c:v>
                </c:pt>
                <c:pt idx="1">
                  <c:v>0.04</c:v>
                </c:pt>
                <c:pt idx="2">
                  <c:v>0.17</c:v>
                </c:pt>
                <c:pt idx="3">
                  <c:v>0.42</c:v>
                </c:pt>
                <c:pt idx="4">
                  <c:v>0.81</c:v>
                </c:pt>
                <c:pt idx="5">
                  <c:v>0.98</c:v>
                </c:pt>
                <c:pt idx="6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2526680"/>
        <c:axId val="-2112270120"/>
      </c:lineChart>
      <c:catAx>
        <c:axId val="-2112526680"/>
        <c:scaling>
          <c:orientation val="minMax"/>
        </c:scaling>
        <c:delete val="0"/>
        <c:axPos val="b"/>
        <c:majorTickMark val="out"/>
        <c:minorTickMark val="none"/>
        <c:tickLblPos val="nextTo"/>
        <c:crossAx val="-2112270120"/>
        <c:crosses val="autoZero"/>
        <c:auto val="1"/>
        <c:lblAlgn val="ctr"/>
        <c:lblOffset val="100"/>
        <c:noMultiLvlLbl val="0"/>
      </c:catAx>
      <c:valAx>
        <c:axId val="-21122701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21125266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Hoja1!$J$1:$U$1</c:f>
              <c:numCache>
                <c:formatCode>General</c:formatCode>
                <c:ptCount val="12"/>
                <c:pt idx="1">
                  <c:v>1.0</c:v>
                </c:pt>
                <c:pt idx="3">
                  <c:v>2.0</c:v>
                </c:pt>
                <c:pt idx="5">
                  <c:v>3.0</c:v>
                </c:pt>
                <c:pt idx="7">
                  <c:v>4.0</c:v>
                </c:pt>
                <c:pt idx="9">
                  <c:v>5.0</c:v>
                </c:pt>
                <c:pt idx="11">
                  <c:v>6.0</c:v>
                </c:pt>
              </c:numCache>
            </c:numRef>
          </c:cat>
          <c:val>
            <c:numRef>
              <c:f>Hoja1!$J$2:$U$2</c:f>
              <c:numCache>
                <c:formatCode>General</c:formatCode>
                <c:ptCount val="12"/>
                <c:pt idx="0">
                  <c:v>0.01</c:v>
                </c:pt>
                <c:pt idx="1">
                  <c:v>0.01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cat>
            <c:numRef>
              <c:f>Hoja1!$J$1:$U$1</c:f>
              <c:numCache>
                <c:formatCode>General</c:formatCode>
                <c:ptCount val="12"/>
                <c:pt idx="1">
                  <c:v>1.0</c:v>
                </c:pt>
                <c:pt idx="3">
                  <c:v>2.0</c:v>
                </c:pt>
                <c:pt idx="5">
                  <c:v>3.0</c:v>
                </c:pt>
                <c:pt idx="7">
                  <c:v>4.0</c:v>
                </c:pt>
                <c:pt idx="9">
                  <c:v>5.0</c:v>
                </c:pt>
                <c:pt idx="11">
                  <c:v>6.0</c:v>
                </c:pt>
              </c:numCache>
            </c:numRef>
          </c:cat>
          <c:val>
            <c:numRef>
              <c:f>Hoja1!$J$3:$U$3</c:f>
              <c:numCache>
                <c:formatCode>General</c:formatCode>
                <c:ptCount val="12"/>
                <c:pt idx="2">
                  <c:v>0.04</c:v>
                </c:pt>
                <c:pt idx="3">
                  <c:v>0.04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cat>
            <c:numRef>
              <c:f>Hoja1!$J$1:$U$1</c:f>
              <c:numCache>
                <c:formatCode>General</c:formatCode>
                <c:ptCount val="12"/>
                <c:pt idx="1">
                  <c:v>1.0</c:v>
                </c:pt>
                <c:pt idx="3">
                  <c:v>2.0</c:v>
                </c:pt>
                <c:pt idx="5">
                  <c:v>3.0</c:v>
                </c:pt>
                <c:pt idx="7">
                  <c:v>4.0</c:v>
                </c:pt>
                <c:pt idx="9">
                  <c:v>5.0</c:v>
                </c:pt>
                <c:pt idx="11">
                  <c:v>6.0</c:v>
                </c:pt>
              </c:numCache>
            </c:numRef>
          </c:cat>
          <c:val>
            <c:numRef>
              <c:f>Hoja1!$J$4:$U$4</c:f>
              <c:numCache>
                <c:formatCode>General</c:formatCode>
                <c:ptCount val="12"/>
                <c:pt idx="4">
                  <c:v>0.17</c:v>
                </c:pt>
                <c:pt idx="5">
                  <c:v>0.17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cat>
            <c:numRef>
              <c:f>Hoja1!$J$1:$U$1</c:f>
              <c:numCache>
                <c:formatCode>General</c:formatCode>
                <c:ptCount val="12"/>
                <c:pt idx="1">
                  <c:v>1.0</c:v>
                </c:pt>
                <c:pt idx="3">
                  <c:v>2.0</c:v>
                </c:pt>
                <c:pt idx="5">
                  <c:v>3.0</c:v>
                </c:pt>
                <c:pt idx="7">
                  <c:v>4.0</c:v>
                </c:pt>
                <c:pt idx="9">
                  <c:v>5.0</c:v>
                </c:pt>
                <c:pt idx="11">
                  <c:v>6.0</c:v>
                </c:pt>
              </c:numCache>
            </c:numRef>
          </c:cat>
          <c:val>
            <c:numRef>
              <c:f>Hoja1!$J$5:$U$5</c:f>
              <c:numCache>
                <c:formatCode>General</c:formatCode>
                <c:ptCount val="12"/>
                <c:pt idx="6">
                  <c:v>0.42</c:v>
                </c:pt>
                <c:pt idx="7">
                  <c:v>0.42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cat>
            <c:numRef>
              <c:f>Hoja1!$J$1:$U$1</c:f>
              <c:numCache>
                <c:formatCode>General</c:formatCode>
                <c:ptCount val="12"/>
                <c:pt idx="1">
                  <c:v>1.0</c:v>
                </c:pt>
                <c:pt idx="3">
                  <c:v>2.0</c:v>
                </c:pt>
                <c:pt idx="5">
                  <c:v>3.0</c:v>
                </c:pt>
                <c:pt idx="7">
                  <c:v>4.0</c:v>
                </c:pt>
                <c:pt idx="9">
                  <c:v>5.0</c:v>
                </c:pt>
                <c:pt idx="11">
                  <c:v>6.0</c:v>
                </c:pt>
              </c:numCache>
            </c:numRef>
          </c:cat>
          <c:val>
            <c:numRef>
              <c:f>Hoja1!$J$6:$U$6</c:f>
              <c:numCache>
                <c:formatCode>General</c:formatCode>
                <c:ptCount val="12"/>
                <c:pt idx="8">
                  <c:v>0.81</c:v>
                </c:pt>
                <c:pt idx="9">
                  <c:v>0.81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cat>
            <c:numRef>
              <c:f>Hoja1!$J$1:$U$1</c:f>
              <c:numCache>
                <c:formatCode>General</c:formatCode>
                <c:ptCount val="12"/>
                <c:pt idx="1">
                  <c:v>1.0</c:v>
                </c:pt>
                <c:pt idx="3">
                  <c:v>2.0</c:v>
                </c:pt>
                <c:pt idx="5">
                  <c:v>3.0</c:v>
                </c:pt>
                <c:pt idx="7">
                  <c:v>4.0</c:v>
                </c:pt>
                <c:pt idx="9">
                  <c:v>5.0</c:v>
                </c:pt>
                <c:pt idx="11">
                  <c:v>6.0</c:v>
                </c:pt>
              </c:numCache>
            </c:numRef>
          </c:cat>
          <c:val>
            <c:numRef>
              <c:f>Hoja1!$J$7:$U$7</c:f>
              <c:numCache>
                <c:formatCode>General</c:formatCode>
                <c:ptCount val="12"/>
                <c:pt idx="10">
                  <c:v>0.98</c:v>
                </c:pt>
                <c:pt idx="11">
                  <c:v>0.98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07020136"/>
        <c:axId val="-2107154344"/>
      </c:lineChart>
      <c:catAx>
        <c:axId val="-2107020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107154344"/>
        <c:crosses val="autoZero"/>
        <c:auto val="1"/>
        <c:lblAlgn val="ctr"/>
        <c:lblOffset val="100"/>
        <c:noMultiLvlLbl val="0"/>
      </c:catAx>
      <c:valAx>
        <c:axId val="-2107154344"/>
        <c:scaling>
          <c:orientation val="minMax"/>
          <c:max val="1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07020136"/>
        <c:crosses val="autoZero"/>
        <c:crossBetween val="between"/>
        <c:majorUnit val="0.2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1" Type="http://schemas.openxmlformats.org/officeDocument/2006/relationships/image" Target="../media/image1.emf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461536</xdr:colOff>
      <xdr:row>5</xdr:row>
      <xdr:rowOff>50800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40036" cy="1003300"/>
        </a:xfrm>
        <a:prstGeom prst="rect">
          <a:avLst/>
        </a:prstGeom>
      </xdr:spPr>
    </xdr:pic>
    <xdr:clientData/>
  </xdr:twoCellAnchor>
  <xdr:twoCellAnchor>
    <xdr:from>
      <xdr:col>1</xdr:col>
      <xdr:colOff>165100</xdr:colOff>
      <xdr:row>14</xdr:row>
      <xdr:rowOff>88900</xdr:rowOff>
    </xdr:from>
    <xdr:to>
      <xdr:col>6</xdr:col>
      <xdr:colOff>609600</xdr:colOff>
      <xdr:row>28</xdr:row>
      <xdr:rowOff>165100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520700</xdr:colOff>
      <xdr:row>11</xdr:row>
      <xdr:rowOff>88900</xdr:rowOff>
    </xdr:from>
    <xdr:to>
      <xdr:col>14</xdr:col>
      <xdr:colOff>139700</xdr:colOff>
      <xdr:row>25</xdr:row>
      <xdr:rowOff>165100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736600</xdr:colOff>
      <xdr:row>12</xdr:row>
      <xdr:rowOff>139700</xdr:rowOff>
    </xdr:from>
    <xdr:to>
      <xdr:col>21</xdr:col>
      <xdr:colOff>355600</xdr:colOff>
      <xdr:row>27</xdr:row>
      <xdr:rowOff>25400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tabSelected="1" topLeftCell="G28" workbookViewId="0">
      <selection activeCell="P47" sqref="P47"/>
    </sheetView>
  </sheetViews>
  <sheetFormatPr baseColWidth="10" defaultRowHeight="15" x14ac:dyDescent="0"/>
  <cols>
    <col min="10" max="10" width="13.33203125" bestFit="1" customWidth="1"/>
  </cols>
  <sheetData>
    <row r="1" spans="1:21">
      <c r="K1">
        <v>1</v>
      </c>
      <c r="M1">
        <v>2</v>
      </c>
      <c r="O1">
        <v>3</v>
      </c>
      <c r="Q1">
        <v>4</v>
      </c>
      <c r="S1">
        <v>5</v>
      </c>
      <c r="U1">
        <v>6</v>
      </c>
    </row>
    <row r="2" spans="1:21">
      <c r="J2">
        <v>0.01</v>
      </c>
      <c r="K2">
        <v>0.01</v>
      </c>
    </row>
    <row r="3" spans="1:21">
      <c r="L3">
        <v>0.04</v>
      </c>
      <c r="M3">
        <v>0.04</v>
      </c>
    </row>
    <row r="4" spans="1:21">
      <c r="N4">
        <v>0.17</v>
      </c>
      <c r="O4">
        <v>0.17</v>
      </c>
    </row>
    <row r="5" spans="1:21">
      <c r="P5">
        <v>0.42000000000000004</v>
      </c>
      <c r="Q5">
        <v>0.42000000000000004</v>
      </c>
    </row>
    <row r="6" spans="1:21">
      <c r="R6">
        <v>0.81</v>
      </c>
      <c r="S6">
        <v>0.81</v>
      </c>
    </row>
    <row r="7" spans="1:21">
      <c r="T7">
        <v>0.98000000000000009</v>
      </c>
      <c r="U7">
        <v>0.98000000000000009</v>
      </c>
    </row>
    <row r="9" spans="1:21" ht="21">
      <c r="A9" s="1" t="s">
        <v>0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</row>
    <row r="10" spans="1:21" ht="21">
      <c r="A10" s="1" t="s">
        <v>1</v>
      </c>
      <c r="B10" s="2">
        <v>0.01</v>
      </c>
      <c r="C10" s="2">
        <v>0.03</v>
      </c>
      <c r="D10" s="2">
        <v>0.13</v>
      </c>
      <c r="E10" s="2">
        <v>0.25</v>
      </c>
      <c r="F10" s="2">
        <v>0.39</v>
      </c>
      <c r="G10" s="2">
        <v>0.17</v>
      </c>
      <c r="H10" s="2">
        <v>0.02</v>
      </c>
    </row>
    <row r="11" spans="1:21" ht="21">
      <c r="A11" s="1" t="s">
        <v>2</v>
      </c>
      <c r="B11" s="2">
        <f>B10</f>
        <v>0.01</v>
      </c>
      <c r="C11" s="2">
        <f>B11+C10</f>
        <v>0.04</v>
      </c>
      <c r="D11" s="2">
        <f t="shared" ref="D11:H11" si="0">C11+D10</f>
        <v>0.17</v>
      </c>
      <c r="E11" s="2">
        <f t="shared" si="0"/>
        <v>0.42000000000000004</v>
      </c>
      <c r="F11" s="2">
        <f t="shared" si="0"/>
        <v>0.81</v>
      </c>
      <c r="G11" s="2">
        <f t="shared" si="0"/>
        <v>0.98000000000000009</v>
      </c>
      <c r="H11" s="2">
        <f t="shared" si="0"/>
        <v>1</v>
      </c>
    </row>
    <row r="34" spans="1:18" ht="22" thickBot="1">
      <c r="A34" s="1" t="s">
        <v>0</v>
      </c>
      <c r="B34" s="1">
        <v>1</v>
      </c>
      <c r="C34" s="6">
        <v>2</v>
      </c>
      <c r="D34" s="6">
        <v>3</v>
      </c>
      <c r="E34" s="6">
        <v>4</v>
      </c>
      <c r="F34" s="6">
        <v>5</v>
      </c>
      <c r="G34" s="6">
        <v>6</v>
      </c>
      <c r="H34" s="1">
        <v>7</v>
      </c>
      <c r="J34" s="10" t="s">
        <v>0</v>
      </c>
      <c r="K34" s="10">
        <v>1</v>
      </c>
      <c r="L34" s="10">
        <v>2</v>
      </c>
      <c r="M34" s="10">
        <v>3</v>
      </c>
      <c r="N34" s="10">
        <v>4</v>
      </c>
      <c r="O34" s="10">
        <v>5</v>
      </c>
      <c r="P34" s="10">
        <v>6</v>
      </c>
      <c r="Q34" s="10">
        <v>7</v>
      </c>
      <c r="R34" s="11" t="s">
        <v>4</v>
      </c>
    </row>
    <row r="35" spans="1:18" ht="22" thickBot="1">
      <c r="A35" s="1" t="s">
        <v>1</v>
      </c>
      <c r="B35" s="2">
        <v>0.01</v>
      </c>
      <c r="C35" s="3">
        <v>0.03</v>
      </c>
      <c r="D35" s="4">
        <v>0.13</v>
      </c>
      <c r="E35" s="4">
        <v>0.25</v>
      </c>
      <c r="F35" s="4">
        <v>0.39</v>
      </c>
      <c r="G35" s="5">
        <v>0.17</v>
      </c>
      <c r="H35" s="2">
        <v>0.02</v>
      </c>
      <c r="J35" s="10" t="s">
        <v>1</v>
      </c>
      <c r="K35" s="2">
        <v>0.01</v>
      </c>
      <c r="L35" s="2">
        <v>0.03</v>
      </c>
      <c r="M35" s="2">
        <v>0.13</v>
      </c>
      <c r="N35" s="2">
        <v>0.25</v>
      </c>
      <c r="O35" s="2">
        <v>0.39</v>
      </c>
      <c r="P35" s="2">
        <v>0.17</v>
      </c>
      <c r="Q35" s="2">
        <v>0.02</v>
      </c>
      <c r="R35" s="11"/>
    </row>
    <row r="36" spans="1:18" ht="23" thickTop="1" thickBot="1">
      <c r="A36" s="1" t="s">
        <v>2</v>
      </c>
      <c r="B36" s="8">
        <f>B35</f>
        <v>0.01</v>
      </c>
      <c r="C36" s="2">
        <f>B36+C35</f>
        <v>0.04</v>
      </c>
      <c r="D36" s="2">
        <f t="shared" ref="D36" si="1">C36+D35</f>
        <v>0.17</v>
      </c>
      <c r="E36" s="2">
        <f t="shared" ref="E36" si="2">D36+E35</f>
        <v>0.42000000000000004</v>
      </c>
      <c r="F36" s="2">
        <f t="shared" ref="F36" si="3">E36+F35</f>
        <v>0.81</v>
      </c>
      <c r="G36" s="7">
        <f t="shared" ref="G36" si="4">F36+G35</f>
        <v>0.98000000000000009</v>
      </c>
      <c r="H36" s="2">
        <f t="shared" ref="H36" si="5">G36+H35</f>
        <v>1</v>
      </c>
      <c r="J36" s="10" t="s">
        <v>3</v>
      </c>
      <c r="K36" s="2">
        <f>K35*K34</f>
        <v>0.01</v>
      </c>
      <c r="L36" s="2">
        <f t="shared" ref="L36:Q36" si="6">L35*L34</f>
        <v>0.06</v>
      </c>
      <c r="M36" s="2">
        <f t="shared" si="6"/>
        <v>0.39</v>
      </c>
      <c r="N36" s="2">
        <f t="shared" si="6"/>
        <v>1</v>
      </c>
      <c r="O36" s="2">
        <f t="shared" si="6"/>
        <v>1.9500000000000002</v>
      </c>
      <c r="P36" s="2">
        <f t="shared" si="6"/>
        <v>1.02</v>
      </c>
      <c r="Q36" s="2">
        <f t="shared" si="6"/>
        <v>0.14000000000000001</v>
      </c>
      <c r="R36" s="9">
        <f>SUM(K36:Q36)</f>
        <v>4.5699999999999994</v>
      </c>
    </row>
    <row r="37" spans="1:18" ht="16" thickTop="1"/>
    <row r="39" spans="1:18" ht="21">
      <c r="J39" s="10" t="s">
        <v>0</v>
      </c>
      <c r="K39" s="10">
        <v>1</v>
      </c>
      <c r="L39" s="10">
        <v>2</v>
      </c>
      <c r="M39" s="10">
        <v>3</v>
      </c>
      <c r="N39" s="10">
        <v>4</v>
      </c>
      <c r="O39" s="10">
        <v>5</v>
      </c>
      <c r="P39" s="10">
        <v>6</v>
      </c>
      <c r="Q39" s="10">
        <v>7</v>
      </c>
      <c r="R39" s="11" t="s">
        <v>8</v>
      </c>
    </row>
    <row r="40" spans="1:18" ht="21">
      <c r="J40" s="10" t="s">
        <v>1</v>
      </c>
      <c r="K40" s="2">
        <v>0.01</v>
      </c>
      <c r="L40" s="2">
        <v>0.03</v>
      </c>
      <c r="M40" s="2">
        <v>0.13</v>
      </c>
      <c r="N40" s="2">
        <v>0.25</v>
      </c>
      <c r="O40" s="2">
        <v>0.39</v>
      </c>
      <c r="P40" s="2">
        <v>0.17</v>
      </c>
      <c r="Q40" s="2">
        <v>0.02</v>
      </c>
      <c r="R40" s="11"/>
    </row>
    <row r="41" spans="1:18" ht="21">
      <c r="J41" s="10" t="s">
        <v>5</v>
      </c>
      <c r="K41" s="2">
        <f>R36-K39</f>
        <v>3.5699999999999994</v>
      </c>
      <c r="L41" s="2">
        <f>R36-L39</f>
        <v>2.5699999999999994</v>
      </c>
      <c r="M41" s="2">
        <f>R36-M39</f>
        <v>1.5699999999999994</v>
      </c>
      <c r="N41" s="2">
        <f>R36-N39</f>
        <v>0.5699999999999994</v>
      </c>
      <c r="O41" s="2">
        <f>R36-O39</f>
        <v>-0.4300000000000006</v>
      </c>
      <c r="P41" s="2">
        <f>R36-P39</f>
        <v>-1.4300000000000006</v>
      </c>
      <c r="Q41" s="2">
        <f>R36-Q39</f>
        <v>-2.4300000000000006</v>
      </c>
      <c r="R41" s="11"/>
    </row>
    <row r="42" spans="1:18" ht="21">
      <c r="J42" s="2" t="s">
        <v>6</v>
      </c>
      <c r="K42" s="2">
        <f>K41*K41</f>
        <v>12.744899999999996</v>
      </c>
      <c r="L42" s="2">
        <f t="shared" ref="L42:Q42" si="7">L41*L41</f>
        <v>6.6048999999999971</v>
      </c>
      <c r="M42" s="2">
        <f t="shared" si="7"/>
        <v>2.4648999999999983</v>
      </c>
      <c r="N42" s="2">
        <f t="shared" si="7"/>
        <v>0.3248999999999993</v>
      </c>
      <c r="O42" s="2">
        <f t="shared" si="7"/>
        <v>0.18490000000000051</v>
      </c>
      <c r="P42" s="2">
        <f t="shared" si="7"/>
        <v>2.0449000000000019</v>
      </c>
      <c r="Q42" s="2">
        <f t="shared" si="7"/>
        <v>5.9049000000000031</v>
      </c>
      <c r="R42" s="11"/>
    </row>
    <row r="43" spans="1:18" ht="21">
      <c r="J43" s="10" t="s">
        <v>7</v>
      </c>
      <c r="K43" s="2">
        <f>K42*K40</f>
        <v>0.12744899999999995</v>
      </c>
      <c r="L43" s="2">
        <f t="shared" ref="L43:Q43" si="8">L42*L40</f>
        <v>0.19814699999999991</v>
      </c>
      <c r="M43" s="2">
        <f t="shared" si="8"/>
        <v>0.32043699999999981</v>
      </c>
      <c r="N43" s="2">
        <f t="shared" si="8"/>
        <v>8.1224999999999825E-2</v>
      </c>
      <c r="O43" s="2">
        <f t="shared" si="8"/>
        <v>7.2111000000000203E-2</v>
      </c>
      <c r="P43" s="2">
        <f t="shared" si="8"/>
        <v>0.34763300000000036</v>
      </c>
      <c r="Q43" s="2">
        <f t="shared" si="8"/>
        <v>0.11809800000000006</v>
      </c>
      <c r="R43" s="9">
        <f>SUM(K43:Q43)</f>
        <v>1.2651000000000001</v>
      </c>
    </row>
    <row r="45" spans="1:18" ht="21">
      <c r="P45" s="9" t="s">
        <v>9</v>
      </c>
      <c r="Q45" s="9"/>
      <c r="R45" s="9">
        <f>SQRT(R43)</f>
        <v>1.1247666424641158</v>
      </c>
    </row>
  </sheetData>
  <mergeCells count="2">
    <mergeCell ref="R34:R35"/>
    <mergeCell ref="R39:R42"/>
  </mergeCells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Celia de León Sandoval</dc:creator>
  <cp:lastModifiedBy>Ana Celia de León Sandoval</cp:lastModifiedBy>
  <dcterms:created xsi:type="dcterms:W3CDTF">2020-03-19T04:20:05Z</dcterms:created>
  <dcterms:modified xsi:type="dcterms:W3CDTF">2020-03-19T05:24:55Z</dcterms:modified>
</cp:coreProperties>
</file>