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426"/>
  <workbookPr showInkAnnotation="0" autoCompressPictures="0"/>
  <bookViews>
    <workbookView xWindow="240" yWindow="200" windowWidth="22800" windowHeight="12700" tabRatio="500" activeTab="2"/>
  </bookViews>
  <sheets>
    <sheet name="Pautas publicitarias vs Ventas" sheetId="4" r:id="rId1"/>
    <sheet name="Antropometría" sheetId="5" r:id="rId2"/>
    <sheet name="Incineradores" sheetId="6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6" i="4" l="1"/>
  <c r="F2" i="4"/>
  <c r="F3" i="4"/>
  <c r="F4" i="4"/>
  <c r="F5" i="4"/>
  <c r="F6" i="4"/>
  <c r="F7" i="4"/>
  <c r="F8" i="4"/>
  <c r="F9" i="4"/>
  <c r="F10" i="4"/>
  <c r="F11" i="4"/>
  <c r="F12" i="4"/>
  <c r="F13" i="4"/>
  <c r="F14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C15" i="4"/>
  <c r="B14" i="4"/>
  <c r="C14" i="4"/>
  <c r="B17" i="4"/>
  <c r="B18" i="4"/>
  <c r="B19" i="4"/>
  <c r="B15" i="4"/>
  <c r="B20" i="4"/>
  <c r="B24" i="4"/>
  <c r="B16" i="4"/>
</calcChain>
</file>

<file path=xl/sharedStrings.xml><?xml version="1.0" encoding="utf-8"?>
<sst xmlns="http://schemas.openxmlformats.org/spreadsheetml/2006/main" count="48" uniqueCount="43">
  <si>
    <t>No. De observación</t>
  </si>
  <si>
    <t>Ventas (y)</t>
  </si>
  <si>
    <t>x cuadrado</t>
  </si>
  <si>
    <t>xy</t>
  </si>
  <si>
    <t>y cuadrado</t>
  </si>
  <si>
    <t>suma</t>
  </si>
  <si>
    <t>promedio</t>
  </si>
  <si>
    <t>r</t>
  </si>
  <si>
    <t>Sxy</t>
  </si>
  <si>
    <t>Sxx</t>
  </si>
  <si>
    <t>b1</t>
  </si>
  <si>
    <t>b0</t>
  </si>
  <si>
    <t>Pronostico</t>
  </si>
  <si>
    <t>x</t>
  </si>
  <si>
    <t>y</t>
  </si>
  <si>
    <t>Publicidad (x)</t>
  </si>
  <si>
    <t>Las ventas en unidades de una empresa, de acuerdo a las pautas publicitarias.</t>
  </si>
  <si>
    <t>r positivo moderado, a más pautas publicitarias mayor venta.</t>
  </si>
  <si>
    <t>El 40% de las ventas lo explica la presencia de pautas publicitarias</t>
  </si>
  <si>
    <t>r2</t>
  </si>
  <si>
    <t>Al invertir en 1,000 pautas, las ventas se estiman en 3,565 unidades</t>
  </si>
  <si>
    <t>No.</t>
  </si>
  <si>
    <t>Altura</t>
  </si>
  <si>
    <t>Circunferencia muñeca</t>
  </si>
  <si>
    <t>Edad</t>
  </si>
  <si>
    <t>Peso</t>
  </si>
  <si>
    <t>Hacer análisis de regresión lineal simple para (diagrama de dispersión, r, r2, y parámetros de regresión lineal simple)</t>
  </si>
  <si>
    <t>a.</t>
  </si>
  <si>
    <t>Peso - altura</t>
  </si>
  <si>
    <t>b.</t>
  </si>
  <si>
    <t>Peso - circunferencia de muñeca</t>
  </si>
  <si>
    <t>c.</t>
  </si>
  <si>
    <t>Peso - edad</t>
  </si>
  <si>
    <t>Hacer análisis de regresión lineal múltiple</t>
  </si>
  <si>
    <t>Hacer un pronóstico para</t>
  </si>
  <si>
    <t>?</t>
  </si>
  <si>
    <t>https://home.ubalt.edu/ntsbarsh/Business-stat/otherapplets/MultRgression.htm</t>
  </si>
  <si>
    <t>Obs</t>
  </si>
  <si>
    <t>Plástico (x1)</t>
  </si>
  <si>
    <t>Papel (x2)</t>
  </si>
  <si>
    <t>Basura (x3)</t>
  </si>
  <si>
    <t>Agua (x4)</t>
  </si>
  <si>
    <t>Contenido energético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</si>
</sst>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/>
    <xf numFmtId="2" fontId="3" fillId="0" borderId="8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3" fillId="2" borderId="8" xfId="0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2" fontId="3" fillId="3" borderId="8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2" fontId="3" fillId="4" borderId="8" xfId="0" applyNumberFormat="1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0" fillId="0" borderId="11" xfId="0" applyBorder="1"/>
    <xf numFmtId="0" fontId="3" fillId="0" borderId="1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9" fontId="0" fillId="0" borderId="0" xfId="29" applyFont="1" applyAlignment="1">
      <alignment horizontal="center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0" xfId="34"/>
    <xf numFmtId="2" fontId="0" fillId="0" borderId="0" xfId="0" applyNumberFormat="1" applyAlignment="1">
      <alignment horizontal="center"/>
    </xf>
  </cellXfs>
  <cellStyles count="3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0" builtinId="8" hidden="1"/>
    <cellStyle name="Hipervínculo" xfId="32" builtinId="8" hidden="1"/>
    <cellStyle name="Hipervínculo" xfId="34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1" builtinId="9" hidden="1"/>
    <cellStyle name="Hipervínculo visitado" xfId="33" builtinId="9" hidden="1"/>
    <cellStyle name="Normal" xfId="0" builtinId="0"/>
    <cellStyle name="Porcentual" xfId="29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Publicidad vs.</a:t>
            </a:r>
            <a:r>
              <a:rPr lang="es-GT" baseline="0"/>
              <a:t> Ventas</a:t>
            </a:r>
            <a:endParaRPr lang="es-GT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'Pautas publicitarias vs Ventas'!$B$2:$B$13</c:f>
              <c:numCache>
                <c:formatCode>General</c:formatCode>
                <c:ptCount val="12"/>
                <c:pt idx="0">
                  <c:v>40.0</c:v>
                </c:pt>
                <c:pt idx="1">
                  <c:v>20.0</c:v>
                </c:pt>
                <c:pt idx="2">
                  <c:v>25.0</c:v>
                </c:pt>
                <c:pt idx="3">
                  <c:v>20.0</c:v>
                </c:pt>
                <c:pt idx="4">
                  <c:v>30.0</c:v>
                </c:pt>
                <c:pt idx="5">
                  <c:v>50.0</c:v>
                </c:pt>
                <c:pt idx="6">
                  <c:v>40.0</c:v>
                </c:pt>
                <c:pt idx="7">
                  <c:v>20.0</c:v>
                </c:pt>
                <c:pt idx="8">
                  <c:v>50.0</c:v>
                </c:pt>
                <c:pt idx="9">
                  <c:v>40.0</c:v>
                </c:pt>
                <c:pt idx="10">
                  <c:v>25.0</c:v>
                </c:pt>
                <c:pt idx="11">
                  <c:v>50.0</c:v>
                </c:pt>
              </c:numCache>
            </c:numRef>
          </c:xVal>
          <c:yVal>
            <c:numRef>
              <c:f>'Pautas publicitarias vs Ventas'!$C$2:$C$13</c:f>
              <c:numCache>
                <c:formatCode>General</c:formatCode>
                <c:ptCount val="12"/>
                <c:pt idx="0">
                  <c:v>385.0</c:v>
                </c:pt>
                <c:pt idx="1">
                  <c:v>400.0</c:v>
                </c:pt>
                <c:pt idx="2">
                  <c:v>395.0</c:v>
                </c:pt>
                <c:pt idx="3">
                  <c:v>365.0</c:v>
                </c:pt>
                <c:pt idx="4">
                  <c:v>475.0</c:v>
                </c:pt>
                <c:pt idx="5">
                  <c:v>440.0</c:v>
                </c:pt>
                <c:pt idx="6">
                  <c:v>490.0</c:v>
                </c:pt>
                <c:pt idx="7">
                  <c:v>420.0</c:v>
                </c:pt>
                <c:pt idx="8">
                  <c:v>560.0</c:v>
                </c:pt>
                <c:pt idx="9">
                  <c:v>525.0</c:v>
                </c:pt>
                <c:pt idx="10">
                  <c:v>480.0</c:v>
                </c:pt>
                <c:pt idx="11">
                  <c:v>510.0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CB3-4B8D-AE2B-487A23A83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124680"/>
        <c:axId val="2079128456"/>
      </c:scatterChart>
      <c:valAx>
        <c:axId val="207912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9128456"/>
        <c:crosses val="autoZero"/>
        <c:crossBetween val="midCat"/>
      </c:valAx>
      <c:valAx>
        <c:axId val="207912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9124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279400</xdr:colOff>
      <xdr:row>0</xdr:row>
      <xdr:rowOff>292100</xdr:rowOff>
    </xdr:from>
    <xdr:to>
      <xdr:col>14</xdr:col>
      <xdr:colOff>508000</xdr:colOff>
      <xdr:row>18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="" xmlns:a16="http://schemas.microsoft.com/office/drawing/2014/main" id="{E4FD056C-7226-4CFB-B34D-B8ADF8334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home.ubalt.edu/ntsbarsh/Business-stat/otherapplets/MultRgression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H1" sqref="H1"/>
    </sheetView>
  </sheetViews>
  <sheetFormatPr baseColWidth="10" defaultRowHeight="15" x14ac:dyDescent="0"/>
  <sheetData>
    <row r="1" spans="1:6" ht="29" thickBot="1">
      <c r="A1" s="1" t="s">
        <v>0</v>
      </c>
      <c r="B1" s="2" t="s">
        <v>15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6" thickBot="1">
      <c r="A2" s="3">
        <v>1</v>
      </c>
      <c r="B2" s="4">
        <v>40</v>
      </c>
      <c r="C2" s="4">
        <v>385</v>
      </c>
      <c r="D2" s="4">
        <f>B2*B2</f>
        <v>1600</v>
      </c>
      <c r="E2" s="4">
        <f>B2*C2</f>
        <v>15400</v>
      </c>
      <c r="F2" s="4">
        <f>C2*C2</f>
        <v>148225</v>
      </c>
    </row>
    <row r="3" spans="1:6" ht="16" thickBot="1">
      <c r="A3" s="3">
        <v>2</v>
      </c>
      <c r="B3" s="4">
        <v>20</v>
      </c>
      <c r="C3" s="4">
        <v>400</v>
      </c>
      <c r="D3" s="4">
        <f t="shared" ref="D3:D8" si="0">B3*B3</f>
        <v>400</v>
      </c>
      <c r="E3" s="4">
        <f t="shared" ref="E3:E8" si="1">B3*C3</f>
        <v>8000</v>
      </c>
      <c r="F3" s="4">
        <f t="shared" ref="F3:F8" si="2">C3*C3</f>
        <v>160000</v>
      </c>
    </row>
    <row r="4" spans="1:6" ht="16" thickBot="1">
      <c r="A4" s="3">
        <v>3</v>
      </c>
      <c r="B4" s="4">
        <v>25</v>
      </c>
      <c r="C4" s="4">
        <v>395</v>
      </c>
      <c r="D4" s="4">
        <f t="shared" si="0"/>
        <v>625</v>
      </c>
      <c r="E4" s="4">
        <f t="shared" si="1"/>
        <v>9875</v>
      </c>
      <c r="F4" s="4">
        <f t="shared" si="2"/>
        <v>156025</v>
      </c>
    </row>
    <row r="5" spans="1:6" ht="16" thickBot="1">
      <c r="A5" s="3">
        <v>4</v>
      </c>
      <c r="B5" s="4">
        <v>20</v>
      </c>
      <c r="C5" s="4">
        <v>365</v>
      </c>
      <c r="D5" s="4">
        <f t="shared" si="0"/>
        <v>400</v>
      </c>
      <c r="E5" s="4">
        <f t="shared" si="1"/>
        <v>7300</v>
      </c>
      <c r="F5" s="4">
        <f t="shared" si="2"/>
        <v>133225</v>
      </c>
    </row>
    <row r="6" spans="1:6" ht="16" thickBot="1">
      <c r="A6" s="3">
        <v>5</v>
      </c>
      <c r="B6" s="4">
        <v>30</v>
      </c>
      <c r="C6" s="4">
        <v>475</v>
      </c>
      <c r="D6" s="4">
        <f t="shared" si="0"/>
        <v>900</v>
      </c>
      <c r="E6" s="4">
        <f t="shared" si="1"/>
        <v>14250</v>
      </c>
      <c r="F6" s="4">
        <f t="shared" si="2"/>
        <v>225625</v>
      </c>
    </row>
    <row r="7" spans="1:6" ht="16" thickBot="1">
      <c r="A7" s="3">
        <v>6</v>
      </c>
      <c r="B7" s="4">
        <v>50</v>
      </c>
      <c r="C7" s="4">
        <v>440</v>
      </c>
      <c r="D7" s="4">
        <f t="shared" si="0"/>
        <v>2500</v>
      </c>
      <c r="E7" s="4">
        <f t="shared" si="1"/>
        <v>22000</v>
      </c>
      <c r="F7" s="4">
        <f t="shared" si="2"/>
        <v>193600</v>
      </c>
    </row>
    <row r="8" spans="1:6" ht="16" thickBot="1">
      <c r="A8" s="3">
        <v>7</v>
      </c>
      <c r="B8" s="4">
        <v>40</v>
      </c>
      <c r="C8" s="4">
        <v>490</v>
      </c>
      <c r="D8" s="4">
        <f t="shared" si="0"/>
        <v>1600</v>
      </c>
      <c r="E8" s="4">
        <f t="shared" si="1"/>
        <v>19600</v>
      </c>
      <c r="F8" s="4">
        <f t="shared" si="2"/>
        <v>240100</v>
      </c>
    </row>
    <row r="9" spans="1:6" ht="16" thickBot="1">
      <c r="A9" s="3">
        <v>8</v>
      </c>
      <c r="B9" s="4">
        <v>20</v>
      </c>
      <c r="C9" s="4">
        <v>420</v>
      </c>
      <c r="D9" s="4">
        <f>B9*B9</f>
        <v>400</v>
      </c>
      <c r="E9" s="4">
        <f>B9*C9</f>
        <v>8400</v>
      </c>
      <c r="F9" s="4">
        <f>C9*C9</f>
        <v>176400</v>
      </c>
    </row>
    <row r="10" spans="1:6" ht="16" thickBot="1">
      <c r="A10" s="3">
        <v>9</v>
      </c>
      <c r="B10" s="4">
        <v>50</v>
      </c>
      <c r="C10" s="4">
        <v>560</v>
      </c>
      <c r="D10" s="4">
        <f t="shared" ref="D10:D13" si="3">B10*B10</f>
        <v>2500</v>
      </c>
      <c r="E10" s="4">
        <f t="shared" ref="E10:E13" si="4">B10*C10</f>
        <v>28000</v>
      </c>
      <c r="F10" s="4">
        <f t="shared" ref="F10:F13" si="5">C10*C10</f>
        <v>313600</v>
      </c>
    </row>
    <row r="11" spans="1:6" ht="16" thickBot="1">
      <c r="A11" s="3">
        <v>10</v>
      </c>
      <c r="B11" s="4">
        <v>40</v>
      </c>
      <c r="C11" s="4">
        <v>525</v>
      </c>
      <c r="D11" s="4">
        <f t="shared" si="3"/>
        <v>1600</v>
      </c>
      <c r="E11" s="4">
        <f t="shared" si="4"/>
        <v>21000</v>
      </c>
      <c r="F11" s="4">
        <f t="shared" si="5"/>
        <v>275625</v>
      </c>
    </row>
    <row r="12" spans="1:6" ht="16" thickBot="1">
      <c r="A12" s="3">
        <v>11</v>
      </c>
      <c r="B12" s="4">
        <v>25</v>
      </c>
      <c r="C12" s="4">
        <v>480</v>
      </c>
      <c r="D12" s="4">
        <f t="shared" si="3"/>
        <v>625</v>
      </c>
      <c r="E12" s="4">
        <f t="shared" si="4"/>
        <v>12000</v>
      </c>
      <c r="F12" s="4">
        <f t="shared" si="5"/>
        <v>230400</v>
      </c>
    </row>
    <row r="13" spans="1:6" ht="16" thickBot="1">
      <c r="A13" s="3">
        <v>12</v>
      </c>
      <c r="B13" s="4">
        <v>50</v>
      </c>
      <c r="C13" s="4">
        <v>510</v>
      </c>
      <c r="D13" s="4">
        <f t="shared" si="3"/>
        <v>2500</v>
      </c>
      <c r="E13" s="4">
        <f t="shared" si="4"/>
        <v>25500</v>
      </c>
      <c r="F13" s="4">
        <f t="shared" si="5"/>
        <v>260100</v>
      </c>
    </row>
    <row r="14" spans="1:6" ht="16" thickBot="1">
      <c r="A14" s="5" t="s">
        <v>5</v>
      </c>
      <c r="B14" s="6">
        <f>SUM(B2:B13)</f>
        <v>410</v>
      </c>
      <c r="C14" s="6">
        <f>SUM(C2:C13)</f>
        <v>5445</v>
      </c>
      <c r="D14" s="6">
        <f>SUM(D2:D13)</f>
        <v>15650</v>
      </c>
      <c r="E14" s="6">
        <f>SUM(E2:E13)</f>
        <v>191325</v>
      </c>
      <c r="F14" s="6">
        <f>SUM(F2:F13)</f>
        <v>2512925</v>
      </c>
    </row>
    <row r="15" spans="1:6" ht="16" thickBot="1">
      <c r="A15" s="7" t="s">
        <v>6</v>
      </c>
      <c r="B15" s="8">
        <f>AVERAGE(B2:B13)</f>
        <v>34.166666666666664</v>
      </c>
      <c r="C15" s="9">
        <f>AVERAGE(C2:C13)</f>
        <v>453.75</v>
      </c>
      <c r="D15" s="10"/>
      <c r="E15" s="11"/>
      <c r="F15" s="10"/>
    </row>
    <row r="16" spans="1:6" ht="16" thickBot="1">
      <c r="A16" s="12" t="s">
        <v>7</v>
      </c>
      <c r="B16" s="13">
        <f>CORREL(B2:B13,C2:C13)</f>
        <v>0.63483726753312575</v>
      </c>
      <c r="C16" s="10"/>
      <c r="D16" s="28" t="s">
        <v>16</v>
      </c>
      <c r="E16" s="29"/>
      <c r="F16" s="30"/>
    </row>
    <row r="17" spans="1:6" ht="16" thickBot="1">
      <c r="A17" s="14" t="s">
        <v>8</v>
      </c>
      <c r="B17" s="8">
        <f>E14-B14*C14/A13</f>
        <v>5287.5</v>
      </c>
      <c r="C17" s="10"/>
      <c r="D17" s="31"/>
      <c r="E17" s="32"/>
      <c r="F17" s="33"/>
    </row>
    <row r="18" spans="1:6" ht="16" thickBot="1">
      <c r="A18" s="15" t="s">
        <v>9</v>
      </c>
      <c r="B18" s="8">
        <f>D14-B14*B14/A13</f>
        <v>1641.6666666666661</v>
      </c>
      <c r="C18" s="10"/>
      <c r="D18" s="31"/>
      <c r="E18" s="32"/>
      <c r="F18" s="33"/>
    </row>
    <row r="19" spans="1:6" ht="16" thickBot="1">
      <c r="A19" s="16" t="s">
        <v>10</v>
      </c>
      <c r="B19" s="17">
        <f>+B17/B18</f>
        <v>3.2208121827411178</v>
      </c>
      <c r="C19" s="10"/>
      <c r="D19" s="31"/>
      <c r="E19" s="32"/>
      <c r="F19" s="33"/>
    </row>
    <row r="20" spans="1:6" ht="16" thickBot="1">
      <c r="A20" s="18" t="s">
        <v>11</v>
      </c>
      <c r="B20" s="19">
        <f>C15-B19*B15</f>
        <v>343.70558375634516</v>
      </c>
      <c r="C20" s="10"/>
      <c r="D20" s="34"/>
      <c r="E20" s="35"/>
      <c r="F20" s="36"/>
    </row>
    <row r="21" spans="1:6" ht="16" thickBot="1"/>
    <row r="22" spans="1:6" ht="16" thickBot="1">
      <c r="A22" s="20" t="s">
        <v>12</v>
      </c>
      <c r="B22" s="21"/>
      <c r="D22" t="s">
        <v>17</v>
      </c>
    </row>
    <row r="23" spans="1:6">
      <c r="A23" s="22" t="s">
        <v>13</v>
      </c>
      <c r="B23" s="23" t="s">
        <v>14</v>
      </c>
    </row>
    <row r="24" spans="1:6" ht="16" thickBot="1">
      <c r="A24" s="24">
        <v>1000</v>
      </c>
      <c r="B24" s="25">
        <f>B20+B19*A24</f>
        <v>3564.5177664974631</v>
      </c>
      <c r="D24" t="s">
        <v>20</v>
      </c>
    </row>
    <row r="26" spans="1:6">
      <c r="A26" s="27" t="s">
        <v>19</v>
      </c>
      <c r="B26" s="26">
        <f>B16*B16</f>
        <v>0.40301835624892546</v>
      </c>
      <c r="D26" t="s">
        <v>18</v>
      </c>
    </row>
  </sheetData>
  <mergeCells count="1">
    <mergeCell ref="D16:F20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activeCell="G2" sqref="G2"/>
    </sheetView>
  </sheetViews>
  <sheetFormatPr baseColWidth="10" defaultRowHeight="15" x14ac:dyDescent="0"/>
  <cols>
    <col min="6" max="6" width="4.5" customWidth="1"/>
    <col min="7" max="7" width="5.5" customWidth="1"/>
    <col min="8" max="8" width="5.83203125" customWidth="1"/>
  </cols>
  <sheetData>
    <row r="1" spans="1:12" ht="30">
      <c r="A1" s="37" t="s">
        <v>21</v>
      </c>
      <c r="B1" s="37" t="s">
        <v>22</v>
      </c>
      <c r="C1" s="37" t="s">
        <v>23</v>
      </c>
      <c r="D1" s="37" t="s">
        <v>24</v>
      </c>
      <c r="E1" s="37" t="s">
        <v>25</v>
      </c>
    </row>
    <row r="2" spans="1:12">
      <c r="A2" s="27">
        <v>1</v>
      </c>
      <c r="B2" s="27">
        <v>174</v>
      </c>
      <c r="C2" s="27">
        <v>15.5</v>
      </c>
      <c r="D2" s="27">
        <v>25</v>
      </c>
      <c r="E2" s="27">
        <v>145</v>
      </c>
      <c r="G2" s="27">
        <v>1</v>
      </c>
      <c r="H2" t="s">
        <v>26</v>
      </c>
    </row>
    <row r="3" spans="1:12">
      <c r="A3" s="27">
        <v>2</v>
      </c>
      <c r="B3" s="27">
        <v>170</v>
      </c>
      <c r="C3" s="27">
        <v>16</v>
      </c>
      <c r="D3" s="27">
        <v>28</v>
      </c>
      <c r="E3" s="27">
        <v>205</v>
      </c>
      <c r="G3" s="27"/>
      <c r="H3" t="s">
        <v>27</v>
      </c>
      <c r="I3" t="s">
        <v>28</v>
      </c>
    </row>
    <row r="4" spans="1:12">
      <c r="A4" s="27">
        <v>3</v>
      </c>
      <c r="B4" s="27">
        <v>168</v>
      </c>
      <c r="C4" s="27">
        <v>14.5</v>
      </c>
      <c r="D4" s="27">
        <v>21</v>
      </c>
      <c r="E4" s="27">
        <v>125</v>
      </c>
      <c r="G4" s="27"/>
      <c r="H4" t="s">
        <v>29</v>
      </c>
      <c r="I4" t="s">
        <v>30</v>
      </c>
    </row>
    <row r="5" spans="1:12">
      <c r="A5" s="27">
        <v>4</v>
      </c>
      <c r="B5" s="27">
        <v>178</v>
      </c>
      <c r="C5" s="27">
        <v>15.5</v>
      </c>
      <c r="D5" s="27">
        <v>21</v>
      </c>
      <c r="E5" s="27">
        <v>155</v>
      </c>
      <c r="G5" s="27"/>
      <c r="H5" t="s">
        <v>31</v>
      </c>
      <c r="I5" t="s">
        <v>32</v>
      </c>
    </row>
    <row r="6" spans="1:12">
      <c r="A6" s="27">
        <v>5</v>
      </c>
      <c r="B6" s="27">
        <v>170</v>
      </c>
      <c r="C6" s="27">
        <v>15</v>
      </c>
      <c r="D6" s="27">
        <v>18</v>
      </c>
      <c r="E6" s="27">
        <v>120</v>
      </c>
      <c r="G6" s="27"/>
    </row>
    <row r="7" spans="1:12">
      <c r="A7" s="27">
        <v>6</v>
      </c>
      <c r="B7" s="27">
        <v>167</v>
      </c>
      <c r="C7" s="27">
        <v>16.8</v>
      </c>
      <c r="D7" s="27">
        <v>24</v>
      </c>
      <c r="E7" s="27">
        <v>160</v>
      </c>
      <c r="G7" s="27">
        <v>2</v>
      </c>
      <c r="H7" t="s">
        <v>33</v>
      </c>
    </row>
    <row r="8" spans="1:12">
      <c r="A8" s="27">
        <v>7</v>
      </c>
      <c r="B8" s="27">
        <v>175</v>
      </c>
      <c r="C8" s="27">
        <v>14.8</v>
      </c>
      <c r="D8" s="27">
        <v>20</v>
      </c>
      <c r="E8" s="27">
        <v>160</v>
      </c>
    </row>
    <row r="9" spans="1:12">
      <c r="A9" s="27">
        <v>8</v>
      </c>
      <c r="B9" s="27">
        <v>159</v>
      </c>
      <c r="C9" s="27">
        <v>15.8</v>
      </c>
      <c r="D9" s="27">
        <v>25</v>
      </c>
      <c r="E9" s="27">
        <v>160</v>
      </c>
      <c r="G9" s="27">
        <v>3</v>
      </c>
      <c r="H9" t="s">
        <v>34</v>
      </c>
    </row>
    <row r="10" spans="1:12">
      <c r="A10" s="27">
        <v>9</v>
      </c>
      <c r="B10" s="27">
        <v>173</v>
      </c>
      <c r="C10" s="27">
        <v>14.6</v>
      </c>
      <c r="D10" s="27">
        <v>20</v>
      </c>
      <c r="E10" s="27">
        <v>183</v>
      </c>
    </row>
    <row r="11" spans="1:12" ht="30">
      <c r="A11" s="27">
        <v>10</v>
      </c>
      <c r="B11" s="27">
        <v>170</v>
      </c>
      <c r="C11" s="27">
        <v>14.3</v>
      </c>
      <c r="D11" s="27">
        <v>28</v>
      </c>
      <c r="E11" s="27">
        <v>135</v>
      </c>
      <c r="I11" s="38" t="s">
        <v>22</v>
      </c>
      <c r="J11" s="39" t="s">
        <v>23</v>
      </c>
      <c r="K11" s="39" t="s">
        <v>24</v>
      </c>
      <c r="L11" s="40" t="s">
        <v>25</v>
      </c>
    </row>
    <row r="12" spans="1:12">
      <c r="A12" s="27">
        <v>11</v>
      </c>
      <c r="B12" s="27">
        <v>169</v>
      </c>
      <c r="C12" s="27">
        <v>16</v>
      </c>
      <c r="D12" s="27">
        <v>23</v>
      </c>
      <c r="E12" s="27">
        <v>180</v>
      </c>
      <c r="I12" s="41">
        <v>165</v>
      </c>
      <c r="J12" s="42">
        <v>15</v>
      </c>
      <c r="K12" s="42">
        <v>21</v>
      </c>
      <c r="L12" s="43" t="s">
        <v>35</v>
      </c>
    </row>
    <row r="13" spans="1:12">
      <c r="A13" s="27">
        <v>12</v>
      </c>
      <c r="B13" s="27">
        <v>180</v>
      </c>
      <c r="C13" s="27">
        <v>15.9</v>
      </c>
      <c r="D13" s="27">
        <v>22</v>
      </c>
      <c r="E13" s="27">
        <v>140</v>
      </c>
    </row>
    <row r="14" spans="1:12">
      <c r="A14" s="27">
        <v>13</v>
      </c>
      <c r="B14" s="27">
        <v>185</v>
      </c>
      <c r="C14" s="27">
        <v>18.5</v>
      </c>
      <c r="D14" s="27">
        <v>21</v>
      </c>
      <c r="E14" s="27">
        <v>200</v>
      </c>
    </row>
    <row r="17" spans="1:1">
      <c r="A17" s="44" t="s">
        <v>36</v>
      </c>
    </row>
  </sheetData>
  <hyperlinks>
    <hyperlink ref="A17" r:id="rId1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/>
  </sheetViews>
  <sheetFormatPr baseColWidth="10" defaultRowHeight="15" x14ac:dyDescent="0"/>
  <cols>
    <col min="1" max="5" width="10.83203125" style="27"/>
    <col min="6" max="6" width="21.33203125" style="27" bestFit="1" customWidth="1"/>
    <col min="7" max="16384" width="10.83203125" style="27"/>
  </cols>
  <sheetData>
    <row r="1" spans="1:6">
      <c r="A1" s="27" t="s">
        <v>37</v>
      </c>
      <c r="B1" s="27" t="s">
        <v>38</v>
      </c>
      <c r="C1" s="27" t="s">
        <v>39</v>
      </c>
      <c r="D1" s="27" t="s">
        <v>40</v>
      </c>
      <c r="E1" s="27" t="s">
        <v>41</v>
      </c>
      <c r="F1" s="27" t="s">
        <v>42</v>
      </c>
    </row>
    <row r="2" spans="1:6">
      <c r="A2" s="27">
        <v>1</v>
      </c>
      <c r="B2" s="45">
        <v>18.690000000000001</v>
      </c>
      <c r="C2" s="45">
        <v>15.65</v>
      </c>
      <c r="D2" s="45">
        <v>45.01</v>
      </c>
      <c r="E2" s="45">
        <v>58.21</v>
      </c>
      <c r="F2" s="27">
        <v>947</v>
      </c>
    </row>
    <row r="3" spans="1:6">
      <c r="A3" s="27">
        <v>2</v>
      </c>
      <c r="B3" s="45">
        <v>19.43</v>
      </c>
      <c r="C3" s="45">
        <v>23.51</v>
      </c>
      <c r="D3" s="45">
        <v>39.69</v>
      </c>
      <c r="E3" s="45">
        <v>46.31</v>
      </c>
      <c r="F3" s="27">
        <v>1407</v>
      </c>
    </row>
    <row r="4" spans="1:6">
      <c r="A4" s="27">
        <v>3</v>
      </c>
      <c r="B4" s="45">
        <v>19.239999999999998</v>
      </c>
      <c r="C4" s="45">
        <v>24.23</v>
      </c>
      <c r="D4" s="45">
        <v>43.16</v>
      </c>
      <c r="E4" s="45">
        <v>46.63</v>
      </c>
      <c r="F4" s="27">
        <v>1452</v>
      </c>
    </row>
    <row r="5" spans="1:6">
      <c r="A5" s="27">
        <v>4</v>
      </c>
      <c r="B5" s="45">
        <v>22.64</v>
      </c>
      <c r="C5" s="45">
        <v>22.2</v>
      </c>
      <c r="D5" s="45">
        <v>35.76</v>
      </c>
      <c r="E5" s="45">
        <v>45.85</v>
      </c>
      <c r="F5" s="27">
        <v>1553</v>
      </c>
    </row>
    <row r="6" spans="1:6">
      <c r="A6" s="27">
        <v>5</v>
      </c>
      <c r="B6" s="45">
        <v>16.54</v>
      </c>
      <c r="C6" s="45">
        <v>23.56</v>
      </c>
      <c r="D6" s="45">
        <v>41.2</v>
      </c>
      <c r="E6" s="45">
        <v>55.14</v>
      </c>
      <c r="F6" s="27">
        <v>989</v>
      </c>
    </row>
    <row r="7" spans="1:6">
      <c r="A7" s="27">
        <v>6</v>
      </c>
      <c r="B7" s="45">
        <v>21.44</v>
      </c>
      <c r="C7" s="45">
        <v>23.65</v>
      </c>
      <c r="D7" s="45">
        <v>35.56</v>
      </c>
      <c r="E7" s="45">
        <v>54.24</v>
      </c>
      <c r="F7" s="27">
        <v>1162</v>
      </c>
    </row>
    <row r="8" spans="1:6">
      <c r="A8" s="27">
        <v>7</v>
      </c>
      <c r="B8" s="45">
        <v>19.53</v>
      </c>
      <c r="C8" s="45">
        <v>24.45</v>
      </c>
      <c r="D8" s="45">
        <v>40.18</v>
      </c>
      <c r="E8" s="45">
        <v>47.2</v>
      </c>
      <c r="F8" s="27">
        <v>1466</v>
      </c>
    </row>
    <row r="9" spans="1:6">
      <c r="A9" s="27">
        <v>8</v>
      </c>
      <c r="B9" s="45">
        <v>23.97</v>
      </c>
      <c r="C9" s="45">
        <v>19.39</v>
      </c>
      <c r="D9" s="45">
        <v>44.11</v>
      </c>
      <c r="E9" s="45">
        <v>43.82</v>
      </c>
      <c r="F9" s="27">
        <v>1656</v>
      </c>
    </row>
    <row r="10" spans="1:6">
      <c r="A10" s="27">
        <v>9</v>
      </c>
      <c r="B10" s="45">
        <v>21.45</v>
      </c>
      <c r="C10" s="45">
        <v>23.84</v>
      </c>
      <c r="D10" s="45">
        <v>35.409999999999997</v>
      </c>
      <c r="E10" s="45">
        <v>51.01</v>
      </c>
      <c r="F10" s="27">
        <v>1254</v>
      </c>
    </row>
    <row r="11" spans="1:6">
      <c r="A11" s="27">
        <v>10</v>
      </c>
      <c r="B11" s="45">
        <v>20.43</v>
      </c>
      <c r="C11" s="45">
        <v>26.5</v>
      </c>
      <c r="D11" s="45">
        <v>34.21</v>
      </c>
      <c r="E11" s="45">
        <v>49.06</v>
      </c>
      <c r="F11" s="27">
        <v>1336</v>
      </c>
    </row>
    <row r="12" spans="1:6">
      <c r="A12" s="27">
        <v>11</v>
      </c>
      <c r="B12" s="45">
        <v>17.03</v>
      </c>
      <c r="C12" s="45">
        <v>23.46</v>
      </c>
      <c r="D12" s="45">
        <v>32.450000000000003</v>
      </c>
      <c r="E12" s="45">
        <v>53.23</v>
      </c>
      <c r="F12" s="27">
        <v>1097</v>
      </c>
    </row>
    <row r="13" spans="1:6">
      <c r="A13" s="27">
        <v>12</v>
      </c>
      <c r="B13" s="45">
        <v>21.03</v>
      </c>
      <c r="C13" s="45">
        <v>26.99</v>
      </c>
      <c r="D13" s="45">
        <v>38.19</v>
      </c>
      <c r="E13" s="45">
        <v>51.78</v>
      </c>
      <c r="F13" s="27">
        <v>1266</v>
      </c>
    </row>
    <row r="14" spans="1:6">
      <c r="A14" s="27">
        <v>13</v>
      </c>
      <c r="B14" s="45">
        <v>20.49</v>
      </c>
      <c r="C14" s="45">
        <v>19.87</v>
      </c>
      <c r="D14" s="45">
        <v>41.35</v>
      </c>
      <c r="E14" s="45">
        <v>46.69</v>
      </c>
      <c r="F14" s="27">
        <v>1401</v>
      </c>
    </row>
    <row r="15" spans="1:6">
      <c r="A15" s="27">
        <v>14</v>
      </c>
      <c r="B15" s="45">
        <v>20.45</v>
      </c>
      <c r="C15" s="45">
        <v>23.03</v>
      </c>
      <c r="D15" s="45">
        <v>43.59</v>
      </c>
      <c r="E15" s="45">
        <v>53.57</v>
      </c>
      <c r="F15" s="27">
        <v>1223</v>
      </c>
    </row>
    <row r="16" spans="1:6">
      <c r="A16" s="27">
        <v>15</v>
      </c>
      <c r="B16" s="45">
        <v>18.809999999999999</v>
      </c>
      <c r="C16" s="45">
        <v>22.62</v>
      </c>
      <c r="D16" s="45">
        <v>42.2</v>
      </c>
      <c r="E16" s="45">
        <v>52.98</v>
      </c>
      <c r="F16" s="27">
        <v>1216</v>
      </c>
    </row>
    <row r="17" spans="1:6">
      <c r="A17" s="27">
        <v>16</v>
      </c>
      <c r="B17" s="45">
        <v>18.28</v>
      </c>
      <c r="C17" s="45">
        <v>21.87</v>
      </c>
      <c r="D17" s="45">
        <v>41.5</v>
      </c>
      <c r="E17" s="45">
        <v>47.44</v>
      </c>
      <c r="F17" s="27">
        <v>1334</v>
      </c>
    </row>
    <row r="18" spans="1:6">
      <c r="A18" s="27">
        <v>17</v>
      </c>
      <c r="B18" s="45">
        <v>21.41</v>
      </c>
      <c r="C18" s="45">
        <v>20.47</v>
      </c>
      <c r="D18" s="45">
        <v>41.2</v>
      </c>
      <c r="E18" s="45">
        <v>54.68</v>
      </c>
      <c r="F18" s="27">
        <v>1155</v>
      </c>
    </row>
    <row r="19" spans="1:6">
      <c r="A19" s="27">
        <v>18</v>
      </c>
      <c r="B19" s="45">
        <v>25.11</v>
      </c>
      <c r="C19" s="45">
        <v>22.59</v>
      </c>
      <c r="D19" s="45">
        <v>37.020000000000003</v>
      </c>
      <c r="E19" s="45">
        <v>48.74</v>
      </c>
      <c r="F19" s="27">
        <v>1453</v>
      </c>
    </row>
    <row r="20" spans="1:6">
      <c r="A20" s="27">
        <v>19</v>
      </c>
      <c r="B20" s="45">
        <v>21.04</v>
      </c>
      <c r="C20" s="45">
        <v>26.27</v>
      </c>
      <c r="D20" s="45">
        <v>38.659999999999997</v>
      </c>
      <c r="E20" s="45">
        <v>53.22</v>
      </c>
      <c r="F20" s="27">
        <v>1278</v>
      </c>
    </row>
    <row r="21" spans="1:6">
      <c r="A21" s="27">
        <v>20</v>
      </c>
      <c r="B21" s="45">
        <v>17.989999999999998</v>
      </c>
      <c r="C21" s="45">
        <v>28.22</v>
      </c>
      <c r="D21" s="45">
        <v>44.18</v>
      </c>
      <c r="E21" s="45">
        <v>53.37</v>
      </c>
      <c r="F21" s="27">
        <v>1153</v>
      </c>
    </row>
    <row r="22" spans="1:6">
      <c r="A22" s="27">
        <v>21</v>
      </c>
      <c r="B22" s="45">
        <v>18.73</v>
      </c>
      <c r="C22" s="45">
        <v>29.39</v>
      </c>
      <c r="D22" s="45">
        <v>34.770000000000003</v>
      </c>
      <c r="E22" s="45">
        <v>51.06</v>
      </c>
      <c r="F22" s="27">
        <v>1225</v>
      </c>
    </row>
    <row r="23" spans="1:6">
      <c r="A23" s="27">
        <v>22</v>
      </c>
      <c r="B23" s="45">
        <v>18.489999999999998</v>
      </c>
      <c r="C23" s="45">
        <v>26.58</v>
      </c>
      <c r="D23" s="45">
        <v>37.549999999999997</v>
      </c>
      <c r="E23" s="45">
        <v>50.66</v>
      </c>
      <c r="F23" s="27">
        <v>1237</v>
      </c>
    </row>
    <row r="24" spans="1:6">
      <c r="A24" s="27">
        <v>23</v>
      </c>
      <c r="B24" s="45">
        <v>22.08</v>
      </c>
      <c r="C24" s="45">
        <v>24.88</v>
      </c>
      <c r="D24" s="45">
        <v>37.07</v>
      </c>
      <c r="E24" s="45">
        <v>50.72</v>
      </c>
      <c r="F24" s="27">
        <v>1327</v>
      </c>
    </row>
    <row r="25" spans="1:6">
      <c r="A25" s="27">
        <v>24</v>
      </c>
      <c r="B25" s="45">
        <v>14.28</v>
      </c>
      <c r="C25" s="45">
        <v>26.27</v>
      </c>
      <c r="D25" s="45">
        <v>35.799999999999997</v>
      </c>
      <c r="E25" s="45">
        <v>48.24</v>
      </c>
      <c r="F25" s="27">
        <v>1229</v>
      </c>
    </row>
    <row r="26" spans="1:6">
      <c r="A26" s="27">
        <v>25</v>
      </c>
      <c r="B26" s="45">
        <v>17.739999999999998</v>
      </c>
      <c r="C26" s="45">
        <v>23.61</v>
      </c>
      <c r="D26" s="45">
        <v>37.36</v>
      </c>
      <c r="E26" s="45">
        <v>49.92</v>
      </c>
      <c r="F26" s="27">
        <v>1205</v>
      </c>
    </row>
    <row r="27" spans="1:6">
      <c r="A27" s="27">
        <v>26</v>
      </c>
      <c r="B27" s="45">
        <v>20.54</v>
      </c>
      <c r="C27" s="45">
        <v>26.58</v>
      </c>
      <c r="D27" s="45">
        <v>35.4</v>
      </c>
      <c r="E27" s="45">
        <v>53.58</v>
      </c>
      <c r="F27" s="27">
        <v>1221</v>
      </c>
    </row>
    <row r="28" spans="1:6">
      <c r="A28" s="27">
        <v>27</v>
      </c>
      <c r="B28" s="45">
        <v>18.25</v>
      </c>
      <c r="C28" s="45">
        <v>13.77</v>
      </c>
      <c r="D28" s="45">
        <v>51.32</v>
      </c>
      <c r="E28" s="45">
        <v>51.38</v>
      </c>
      <c r="F28" s="27">
        <v>1138</v>
      </c>
    </row>
    <row r="29" spans="1:6">
      <c r="A29" s="27">
        <v>28</v>
      </c>
      <c r="B29" s="45">
        <v>19.09</v>
      </c>
      <c r="C29" s="45">
        <v>25.62</v>
      </c>
      <c r="D29" s="45">
        <v>39.54</v>
      </c>
      <c r="E29" s="45">
        <v>50.13</v>
      </c>
      <c r="F29" s="27">
        <v>1295</v>
      </c>
    </row>
    <row r="30" spans="1:6">
      <c r="A30" s="27">
        <v>29</v>
      </c>
      <c r="B30" s="45">
        <v>21.25</v>
      </c>
      <c r="C30" s="45">
        <v>20.63</v>
      </c>
      <c r="D30" s="45">
        <v>40.72</v>
      </c>
      <c r="E30" s="45">
        <v>48.67</v>
      </c>
      <c r="F30" s="27">
        <v>1391</v>
      </c>
    </row>
    <row r="31" spans="1:6">
      <c r="A31" s="27">
        <v>30</v>
      </c>
      <c r="B31" s="45">
        <v>21.62</v>
      </c>
      <c r="C31" s="45">
        <v>22.71</v>
      </c>
      <c r="D31" s="45">
        <v>36.22</v>
      </c>
      <c r="E31" s="45">
        <v>48.19</v>
      </c>
      <c r="F31" s="27">
        <v>1372</v>
      </c>
    </row>
    <row r="34" spans="2:6">
      <c r="B34" s="27">
        <v>20</v>
      </c>
      <c r="C34" s="27">
        <v>25</v>
      </c>
      <c r="D34" s="27">
        <v>40</v>
      </c>
      <c r="E34" s="27">
        <v>45</v>
      </c>
      <c r="F34" s="27" t="s">
        <v>35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Pautas publicitarias vs Ventas</vt:lpstr>
      <vt:lpstr>Antropometría</vt:lpstr>
      <vt:lpstr>Incineradores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Celia de León Sandoval</dc:creator>
  <cp:lastModifiedBy>Ana Celia de León Sandoval</cp:lastModifiedBy>
  <dcterms:created xsi:type="dcterms:W3CDTF">2019-02-09T04:32:18Z</dcterms:created>
  <dcterms:modified xsi:type="dcterms:W3CDTF">2021-04-29T17:49:35Z</dcterms:modified>
</cp:coreProperties>
</file>