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Redes y Telecomunicaciones\Unidad II\"/>
    </mc:Choice>
  </mc:AlternateContent>
  <xr:revisionPtr revIDLastSave="0" documentId="13_ncr:1_{844FD10A-A18A-413C-A112-2C59D750D015}" xr6:coauthVersionLast="47" xr6:coauthVersionMax="47" xr10:uidLastSave="{00000000-0000-0000-0000-000000000000}"/>
  <bookViews>
    <workbookView xWindow="22944" yWindow="0" windowWidth="11712" windowHeight="13056" activeTab="1" xr2:uid="{267DD3E7-2F23-43FB-A687-F10EB8BD876F}"/>
  </bookViews>
  <sheets>
    <sheet name="inciso a" sheetId="1" r:id="rId1"/>
    <sheet name="inciso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  <c r="B4" i="1"/>
  <c r="B3" i="1"/>
  <c r="B2" i="1"/>
</calcChain>
</file>

<file path=xl/sharedStrings.xml><?xml version="1.0" encoding="utf-8"?>
<sst xmlns="http://schemas.openxmlformats.org/spreadsheetml/2006/main" count="190" uniqueCount="101">
  <si>
    <t>Departamento</t>
  </si>
  <si>
    <t>Prefijo</t>
  </si>
  <si>
    <t>Red (network)</t>
  </si>
  <si>
    <t>Gateway sugerido</t>
  </si>
  <si>
    <t>Rango usable (ejemplo)</t>
  </si>
  <si>
    <t>Broadcast</t>
  </si>
  <si>
    <t>Administración Central</t>
  </si>
  <si>
    <t>/24</t>
  </si>
  <si>
    <t>10.10.0.0/24</t>
  </si>
  <si>
    <t>10.10.0.1</t>
  </si>
  <si>
    <t>10.10.0.2 – 10.10.0.254</t>
  </si>
  <si>
    <t>10.10.0.255</t>
  </si>
  <si>
    <t>Desarrollo Software</t>
  </si>
  <si>
    <t>10.10.1.0/24</t>
  </si>
  <si>
    <t>10.10.1.1</t>
  </si>
  <si>
    <t>10.10.1.2 – 10.10.1.254</t>
  </si>
  <si>
    <t>10.10.1.255</t>
  </si>
  <si>
    <t>Red de Invitados</t>
  </si>
  <si>
    <t>10.10.2.0/24</t>
  </si>
  <si>
    <t>10.10.2.1</t>
  </si>
  <si>
    <t>10.10.2.2 – 10.10.2.254</t>
  </si>
  <si>
    <t>10.10.2.255</t>
  </si>
  <si>
    <t>Soporte Técnico</t>
  </si>
  <si>
    <t>/25</t>
  </si>
  <si>
    <t>10.10.3.0/25</t>
  </si>
  <si>
    <t>10.10.3.1</t>
  </si>
  <si>
    <t>10.10.3.2 – 10.10.3.126</t>
  </si>
  <si>
    <t>10.10.3.127</t>
  </si>
  <si>
    <t>Marketing y Ventas</t>
  </si>
  <si>
    <t>10.10.3.128/25</t>
  </si>
  <si>
    <t>10.10.3.129</t>
  </si>
  <si>
    <t>10.10.3.130 – 10.10.3.254</t>
  </si>
  <si>
    <t>10.10.3.255</t>
  </si>
  <si>
    <t>Centro de Datos</t>
  </si>
  <si>
    <t>10.10.4.0/25</t>
  </si>
  <si>
    <t>10.10.4.1</t>
  </si>
  <si>
    <t>10.10.4.2 – 10.10.4.126</t>
  </si>
  <si>
    <t>10.10.4.127</t>
  </si>
  <si>
    <t>Desarrollo de Software</t>
  </si>
  <si>
    <t>Hosts</t>
  </si>
  <si>
    <t xml:space="preserve">Departamentos </t>
  </si>
  <si>
    <t>Subred asignada</t>
  </si>
  <si>
    <t>Rango de hosts</t>
  </si>
  <si>
    <t>Máscara de Subred</t>
  </si>
  <si>
    <t>Utilizables</t>
  </si>
  <si>
    <t xml:space="preserve">Departamento </t>
  </si>
  <si>
    <t>Dirección de Red</t>
  </si>
  <si>
    <t>CIDR</t>
  </si>
  <si>
    <t>Rango Utilizable</t>
  </si>
  <si>
    <t>Gateway</t>
  </si>
  <si>
    <t>CIDR  con diagonal</t>
  </si>
  <si>
    <t>Máscara Decimal</t>
  </si>
  <si>
    <t>Desarrollo e Innovación (218)</t>
  </si>
  <si>
    <t>192.168.0.0</t>
  </si>
  <si>
    <t>255.255.254.0</t>
  </si>
  <si>
    <t>/23</t>
  </si>
  <si>
    <t>192.168.0.1 – 192.168.1.254</t>
  </si>
  <si>
    <t>192.168.0.1</t>
  </si>
  <si>
    <t>192.168.1.255</t>
  </si>
  <si>
    <t>Red de Invitados (92)</t>
  </si>
  <si>
    <t>192.168.2.0</t>
  </si>
  <si>
    <t>255.255.255.128</t>
  </si>
  <si>
    <t>192.168.2.1 – 192.168.2.126</t>
  </si>
  <si>
    <t>192.168.2.1</t>
  </si>
  <si>
    <t>192.168.2.127</t>
  </si>
  <si>
    <t>IoT y Dispositivos (90)</t>
  </si>
  <si>
    <t>192.168.2.128</t>
  </si>
  <si>
    <t>192.168.2.129 – 192.168.2.254</t>
  </si>
  <si>
    <t>192.168.2.129</t>
  </si>
  <si>
    <t>192.168.2.255</t>
  </si>
  <si>
    <t>Soporte Técnico N1 (57)</t>
  </si>
  <si>
    <t>192.168.3.0</t>
  </si>
  <si>
    <t>255.255.255.192</t>
  </si>
  <si>
    <t>/26</t>
  </si>
  <si>
    <t>192.168.3.1 – 192.168.3.62</t>
  </si>
  <si>
    <t>192.168.3.1</t>
  </si>
  <si>
    <t>192.168.3.63</t>
  </si>
  <si>
    <t>Sala de Servidores (48)</t>
  </si>
  <si>
    <t>192.168.3.64</t>
  </si>
  <si>
    <t>192.168.3.65 – 192.168.3.126</t>
  </si>
  <si>
    <t>192.168.3.65</t>
  </si>
  <si>
    <t>192.168.3.127</t>
  </si>
  <si>
    <t>Marketing Digital (46)</t>
  </si>
  <si>
    <t>192.168.3.128</t>
  </si>
  <si>
    <t>192.168.3.129 – 192.168.3.190</t>
  </si>
  <si>
    <t>192.168.3.129</t>
  </si>
  <si>
    <t>192.168.3.191</t>
  </si>
  <si>
    <t>Dirección Ejecutiva (28)</t>
  </si>
  <si>
    <t>192.168.3.192</t>
  </si>
  <si>
    <t>255.255.255.224</t>
  </si>
  <si>
    <t>/27</t>
  </si>
  <si>
    <t>192.168.3.193 – 192.168.3.222</t>
  </si>
  <si>
    <t>192.168.3.193</t>
  </si>
  <si>
    <t>192.168.3.223</t>
  </si>
  <si>
    <t>Servidor DHCP (mínimo 2)</t>
  </si>
  <si>
    <t>192.168.3.224</t>
  </si>
  <si>
    <t>255.255.255.252</t>
  </si>
  <si>
    <t>/30</t>
  </si>
  <si>
    <t>192.168.3.225 – 192.168.3.226</t>
  </si>
  <si>
    <t>192.168.3.225</t>
  </si>
  <si>
    <t>192.168.3.227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</si>
</sst>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DA7F-1EA6-4459-B663-D4409D864963}">
  <dimension ref="A1:M23"/>
  <sheetViews>
    <sheetView topLeftCell="A14" workbookViewId="0">
      <selection activeCell="E14" sqref="E14"/>
    </sheetView>
  </sheetViews>
  <sheetFormatPr baseColWidth="10" defaultRowHeight="14.4" x14ac:dyDescent="0.3"/>
  <cols>
    <col min="1" max="1" width="21.5546875" bestFit="1" customWidth="1"/>
    <col min="2" max="2" width="11.6640625" bestFit="1" customWidth="1"/>
    <col min="3" max="3" width="14.6640625" customWidth="1"/>
    <col min="5" max="5" width="21.5546875" customWidth="1"/>
    <col min="8" max="8" width="11" bestFit="1" customWidth="1"/>
  </cols>
  <sheetData>
    <row r="1" spans="1:6" ht="28.8" x14ac:dyDescent="0.3">
      <c r="A1" s="6" t="s">
        <v>40</v>
      </c>
      <c r="B1" s="6" t="s">
        <v>39</v>
      </c>
      <c r="C1" s="7" t="s">
        <v>41</v>
      </c>
      <c r="D1" s="7" t="s">
        <v>43</v>
      </c>
      <c r="E1" s="7" t="s">
        <v>44</v>
      </c>
      <c r="F1" s="7" t="s">
        <v>5</v>
      </c>
    </row>
    <row r="2" spans="1:6" x14ac:dyDescent="0.3">
      <c r="A2" s="8" t="s">
        <v>38</v>
      </c>
      <c r="B2" s="8">
        <f>180*1.4</f>
        <v>251.99999999999997</v>
      </c>
      <c r="C2" s="8" t="s">
        <v>8</v>
      </c>
      <c r="D2" s="8" t="s">
        <v>7</v>
      </c>
      <c r="E2" s="8" t="s">
        <v>10</v>
      </c>
      <c r="F2" s="8" t="s">
        <v>11</v>
      </c>
    </row>
    <row r="3" spans="1:6" x14ac:dyDescent="0.3">
      <c r="A3" s="8" t="s">
        <v>6</v>
      </c>
      <c r="B3" s="8">
        <f>120*1.4</f>
        <v>168</v>
      </c>
      <c r="C3" s="8" t="s">
        <v>13</v>
      </c>
      <c r="D3" s="8" t="s">
        <v>7</v>
      </c>
      <c r="E3" s="8" t="s">
        <v>15</v>
      </c>
      <c r="F3" s="8" t="s">
        <v>16</v>
      </c>
    </row>
    <row r="4" spans="1:6" x14ac:dyDescent="0.3">
      <c r="A4" s="8" t="s">
        <v>17</v>
      </c>
      <c r="B4" s="8">
        <f>100*1.4</f>
        <v>140</v>
      </c>
      <c r="C4" s="8" t="s">
        <v>18</v>
      </c>
      <c r="D4" s="8" t="s">
        <v>7</v>
      </c>
      <c r="E4" s="8" t="s">
        <v>20</v>
      </c>
      <c r="F4" s="8" t="s">
        <v>21</v>
      </c>
    </row>
    <row r="5" spans="1:6" x14ac:dyDescent="0.3">
      <c r="A5" s="8" t="s">
        <v>22</v>
      </c>
      <c r="B5" s="8">
        <f>75*1.4</f>
        <v>105</v>
      </c>
      <c r="C5" s="8" t="s">
        <v>24</v>
      </c>
      <c r="D5" s="8" t="s">
        <v>23</v>
      </c>
      <c r="E5" s="8" t="s">
        <v>26</v>
      </c>
      <c r="F5" s="8" t="s">
        <v>27</v>
      </c>
    </row>
    <row r="6" spans="1:6" ht="28.8" x14ac:dyDescent="0.3">
      <c r="A6" s="8" t="s">
        <v>28</v>
      </c>
      <c r="B6" s="8">
        <f>60*1.4</f>
        <v>84</v>
      </c>
      <c r="C6" s="8" t="s">
        <v>29</v>
      </c>
      <c r="D6" s="8" t="s">
        <v>23</v>
      </c>
      <c r="E6" s="8" t="s">
        <v>31</v>
      </c>
      <c r="F6" s="8" t="s">
        <v>32</v>
      </c>
    </row>
    <row r="7" spans="1:6" x14ac:dyDescent="0.3">
      <c r="A7" s="8" t="s">
        <v>33</v>
      </c>
      <c r="B7" s="8">
        <f>50*1.4</f>
        <v>70</v>
      </c>
      <c r="C7" s="8" t="s">
        <v>34</v>
      </c>
      <c r="D7" s="8" t="s">
        <v>23</v>
      </c>
      <c r="E7" s="8" t="s">
        <v>36</v>
      </c>
      <c r="F7" s="8" t="s">
        <v>37</v>
      </c>
    </row>
    <row r="17" spans="1:13" ht="28.8" x14ac:dyDescent="0.3">
      <c r="A17" s="1" t="s">
        <v>0</v>
      </c>
      <c r="B17" s="3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H17" s="1" t="s">
        <v>0</v>
      </c>
      <c r="I17" s="1" t="s">
        <v>41</v>
      </c>
      <c r="J17" s="1" t="s">
        <v>1</v>
      </c>
      <c r="K17" s="1" t="s">
        <v>3</v>
      </c>
      <c r="L17" s="1" t="s">
        <v>42</v>
      </c>
      <c r="M17" s="1" t="s">
        <v>5</v>
      </c>
    </row>
    <row r="18" spans="1:13" ht="28.8" x14ac:dyDescent="0.3">
      <c r="A18" s="4" t="s">
        <v>6</v>
      </c>
      <c r="B18" s="2" t="s">
        <v>7</v>
      </c>
      <c r="C18" s="5" t="s">
        <v>8</v>
      </c>
      <c r="D18" s="4" t="s">
        <v>9</v>
      </c>
      <c r="E18" s="4" t="s">
        <v>10</v>
      </c>
      <c r="F18" s="4" t="s">
        <v>11</v>
      </c>
      <c r="H18" s="4" t="s">
        <v>12</v>
      </c>
      <c r="I18" s="4" t="s">
        <v>8</v>
      </c>
      <c r="J18" s="4" t="s">
        <v>7</v>
      </c>
      <c r="K18" s="4" t="s">
        <v>9</v>
      </c>
      <c r="L18" s="4" t="s">
        <v>10</v>
      </c>
      <c r="M18" s="4" t="s">
        <v>11</v>
      </c>
    </row>
    <row r="19" spans="1:13" ht="28.8" x14ac:dyDescent="0.3">
      <c r="A19" s="4" t="s">
        <v>12</v>
      </c>
      <c r="B19" s="2" t="s">
        <v>7</v>
      </c>
      <c r="C19" s="5" t="s">
        <v>13</v>
      </c>
      <c r="D19" s="4" t="s">
        <v>14</v>
      </c>
      <c r="E19" s="4" t="s">
        <v>15</v>
      </c>
      <c r="F19" s="4" t="s">
        <v>16</v>
      </c>
      <c r="H19" s="4" t="s">
        <v>6</v>
      </c>
      <c r="I19" s="4" t="s">
        <v>13</v>
      </c>
      <c r="J19" s="4" t="s">
        <v>7</v>
      </c>
      <c r="K19" s="4" t="s">
        <v>14</v>
      </c>
      <c r="L19" s="4" t="s">
        <v>15</v>
      </c>
      <c r="M19" s="4" t="s">
        <v>16</v>
      </c>
    </row>
    <row r="20" spans="1:13" ht="28.8" x14ac:dyDescent="0.3">
      <c r="A20" s="4" t="s">
        <v>17</v>
      </c>
      <c r="B20" s="2" t="s">
        <v>7</v>
      </c>
      <c r="C20" s="5" t="s">
        <v>18</v>
      </c>
      <c r="D20" s="4" t="s">
        <v>19</v>
      </c>
      <c r="E20" s="4" t="s">
        <v>20</v>
      </c>
      <c r="F20" s="4" t="s">
        <v>21</v>
      </c>
      <c r="H20" s="4" t="s">
        <v>17</v>
      </c>
      <c r="I20" s="4" t="s">
        <v>18</v>
      </c>
      <c r="J20" s="4" t="s">
        <v>7</v>
      </c>
      <c r="K20" s="4" t="s">
        <v>19</v>
      </c>
      <c r="L20" s="4" t="s">
        <v>20</v>
      </c>
      <c r="M20" s="4" t="s">
        <v>21</v>
      </c>
    </row>
    <row r="21" spans="1:13" ht="28.8" x14ac:dyDescent="0.3">
      <c r="A21" s="4" t="s">
        <v>22</v>
      </c>
      <c r="B21" s="2" t="s">
        <v>23</v>
      </c>
      <c r="C21" s="5" t="s">
        <v>24</v>
      </c>
      <c r="D21" s="4" t="s">
        <v>25</v>
      </c>
      <c r="E21" s="4" t="s">
        <v>26</v>
      </c>
      <c r="F21" s="4" t="s">
        <v>27</v>
      </c>
      <c r="H21" s="4" t="s">
        <v>22</v>
      </c>
      <c r="I21" s="4" t="s">
        <v>24</v>
      </c>
      <c r="J21" s="4" t="s">
        <v>23</v>
      </c>
      <c r="K21" s="4" t="s">
        <v>25</v>
      </c>
      <c r="L21" s="4" t="s">
        <v>26</v>
      </c>
      <c r="M21" s="4" t="s">
        <v>27</v>
      </c>
    </row>
    <row r="22" spans="1:13" ht="43.2" x14ac:dyDescent="0.3">
      <c r="A22" s="4" t="s">
        <v>28</v>
      </c>
      <c r="B22" s="2" t="s">
        <v>23</v>
      </c>
      <c r="C22" s="5" t="s">
        <v>29</v>
      </c>
      <c r="D22" s="4" t="s">
        <v>30</v>
      </c>
      <c r="E22" s="4" t="s">
        <v>31</v>
      </c>
      <c r="F22" s="4" t="s">
        <v>32</v>
      </c>
      <c r="H22" s="4" t="s">
        <v>28</v>
      </c>
      <c r="I22" s="4" t="s">
        <v>29</v>
      </c>
      <c r="J22" s="4" t="s">
        <v>23</v>
      </c>
      <c r="K22" s="4" t="s">
        <v>30</v>
      </c>
      <c r="L22" s="4" t="s">
        <v>31</v>
      </c>
      <c r="M22" s="4" t="s">
        <v>32</v>
      </c>
    </row>
    <row r="23" spans="1:13" ht="28.8" x14ac:dyDescent="0.3">
      <c r="A23" s="4" t="s">
        <v>33</v>
      </c>
      <c r="B23" s="2" t="s">
        <v>23</v>
      </c>
      <c r="C23" s="5" t="s">
        <v>34</v>
      </c>
      <c r="D23" s="4" t="s">
        <v>35</v>
      </c>
      <c r="E23" s="4" t="s">
        <v>36</v>
      </c>
      <c r="F23" s="4" t="s">
        <v>37</v>
      </c>
      <c r="H23" s="4" t="s">
        <v>33</v>
      </c>
      <c r="I23" s="4" t="s">
        <v>34</v>
      </c>
      <c r="J23" s="4" t="s">
        <v>23</v>
      </c>
      <c r="K23" s="4" t="s">
        <v>35</v>
      </c>
      <c r="L23" s="4" t="s">
        <v>36</v>
      </c>
      <c r="M23" s="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55EB-1294-4106-B2DB-DB9EA04BAFE6}">
  <dimension ref="A3:G16"/>
  <sheetViews>
    <sheetView tabSelected="1" topLeftCell="A4" workbookViewId="0">
      <selection activeCell="F10" sqref="F10"/>
    </sheetView>
  </sheetViews>
  <sheetFormatPr baseColWidth="10" defaultRowHeight="14.4" x14ac:dyDescent="0.3"/>
  <cols>
    <col min="1" max="1" width="12.88671875" bestFit="1" customWidth="1"/>
    <col min="2" max="2" width="14.5546875" bestFit="1" customWidth="1"/>
    <col min="3" max="3" width="16.44140625" bestFit="1" customWidth="1"/>
    <col min="4" max="4" width="15.77734375" bestFit="1" customWidth="1"/>
    <col min="5" max="5" width="13.6640625" bestFit="1" customWidth="1"/>
    <col min="6" max="6" width="8" bestFit="1" customWidth="1"/>
    <col min="7" max="7" width="9.21875" bestFit="1" customWidth="1"/>
  </cols>
  <sheetData>
    <row r="3" spans="1:7" x14ac:dyDescent="0.3">
      <c r="A3" s="9" t="s">
        <v>45</v>
      </c>
      <c r="B3" s="9" t="s">
        <v>46</v>
      </c>
      <c r="C3" s="9" t="s">
        <v>43</v>
      </c>
      <c r="D3" s="9" t="s">
        <v>50</v>
      </c>
      <c r="E3" s="9" t="s">
        <v>48</v>
      </c>
      <c r="F3" s="9" t="s">
        <v>49</v>
      </c>
      <c r="G3" s="9" t="s">
        <v>5</v>
      </c>
    </row>
    <row r="4" spans="1:7" x14ac:dyDescent="0.3">
      <c r="A4" s="9"/>
      <c r="B4" s="9"/>
      <c r="C4" s="9"/>
      <c r="D4" s="9"/>
      <c r="E4" s="9"/>
      <c r="F4" s="9"/>
      <c r="G4" s="9"/>
    </row>
    <row r="5" spans="1:7" x14ac:dyDescent="0.3">
      <c r="A5" s="9"/>
      <c r="B5" s="9"/>
      <c r="C5" s="9"/>
      <c r="D5" s="9"/>
      <c r="E5" s="9"/>
      <c r="F5" s="9"/>
      <c r="G5" s="9"/>
    </row>
    <row r="6" spans="1:7" ht="28.8" x14ac:dyDescent="0.3">
      <c r="A6" s="1" t="s">
        <v>0</v>
      </c>
      <c r="B6" s="1" t="s">
        <v>46</v>
      </c>
      <c r="C6" s="1" t="s">
        <v>51</v>
      </c>
      <c r="D6" s="1" t="s">
        <v>47</v>
      </c>
      <c r="E6" s="1" t="s">
        <v>48</v>
      </c>
      <c r="F6" s="1" t="s">
        <v>49</v>
      </c>
      <c r="G6" s="1" t="s">
        <v>5</v>
      </c>
    </row>
    <row r="7" spans="1:7" ht="43.2" x14ac:dyDescent="0.3">
      <c r="A7" s="4" t="s">
        <v>52</v>
      </c>
      <c r="B7" s="4" t="s">
        <v>53</v>
      </c>
      <c r="C7" s="4" t="s">
        <v>54</v>
      </c>
      <c r="D7" s="4" t="s">
        <v>55</v>
      </c>
      <c r="E7" s="4" t="s">
        <v>56</v>
      </c>
      <c r="F7" s="4" t="s">
        <v>57</v>
      </c>
      <c r="G7" s="4" t="s">
        <v>58</v>
      </c>
    </row>
    <row r="8" spans="1:7" ht="28.8" x14ac:dyDescent="0.3">
      <c r="A8" s="4" t="s">
        <v>59</v>
      </c>
      <c r="B8" s="4" t="s">
        <v>60</v>
      </c>
      <c r="C8" s="4" t="s">
        <v>61</v>
      </c>
      <c r="D8" s="4" t="s">
        <v>23</v>
      </c>
      <c r="E8" s="4" t="s">
        <v>62</v>
      </c>
      <c r="F8" s="4" t="s">
        <v>63</v>
      </c>
      <c r="G8" s="4" t="s">
        <v>64</v>
      </c>
    </row>
    <row r="9" spans="1:7" ht="43.2" x14ac:dyDescent="0.3">
      <c r="A9" s="4" t="s">
        <v>65</v>
      </c>
      <c r="B9" s="4" t="s">
        <v>66</v>
      </c>
      <c r="C9" s="4" t="s">
        <v>61</v>
      </c>
      <c r="D9" s="4" t="s">
        <v>23</v>
      </c>
      <c r="E9" s="4" t="s">
        <v>67</v>
      </c>
      <c r="F9" s="4" t="s">
        <v>68</v>
      </c>
      <c r="G9" s="4" t="s">
        <v>69</v>
      </c>
    </row>
    <row r="10" spans="1:7" ht="43.2" x14ac:dyDescent="0.3">
      <c r="A10" s="4" t="s">
        <v>70</v>
      </c>
      <c r="B10" s="4" t="s">
        <v>71</v>
      </c>
      <c r="C10" s="4" t="s">
        <v>72</v>
      </c>
      <c r="D10" s="4" t="s">
        <v>73</v>
      </c>
      <c r="E10" s="4" t="s">
        <v>74</v>
      </c>
      <c r="F10" s="4" t="s">
        <v>75</v>
      </c>
      <c r="G10" s="4" t="s">
        <v>76</v>
      </c>
    </row>
    <row r="11" spans="1:7" ht="28.8" x14ac:dyDescent="0.3">
      <c r="A11" s="4" t="s">
        <v>77</v>
      </c>
      <c r="B11" s="4" t="s">
        <v>78</v>
      </c>
      <c r="C11" s="4" t="s">
        <v>72</v>
      </c>
      <c r="D11" s="4" t="s">
        <v>73</v>
      </c>
      <c r="E11" s="4" t="s">
        <v>79</v>
      </c>
      <c r="F11" s="4" t="s">
        <v>80</v>
      </c>
      <c r="G11" s="4" t="s">
        <v>81</v>
      </c>
    </row>
    <row r="12" spans="1:7" ht="43.2" x14ac:dyDescent="0.3">
      <c r="A12" s="4" t="s">
        <v>82</v>
      </c>
      <c r="B12" s="4" t="s">
        <v>83</v>
      </c>
      <c r="C12" s="4" t="s">
        <v>72</v>
      </c>
      <c r="D12" s="4" t="s">
        <v>73</v>
      </c>
      <c r="E12" s="4" t="s">
        <v>84</v>
      </c>
      <c r="F12" s="4" t="s">
        <v>85</v>
      </c>
      <c r="G12" s="4" t="s">
        <v>86</v>
      </c>
    </row>
    <row r="13" spans="1:7" ht="43.2" x14ac:dyDescent="0.3">
      <c r="A13" s="4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</row>
    <row r="14" spans="1:7" ht="43.2" x14ac:dyDescent="0.3">
      <c r="A14" s="4" t="s">
        <v>94</v>
      </c>
      <c r="B14" s="4" t="s">
        <v>95</v>
      </c>
      <c r="C14" s="4" t="s">
        <v>96</v>
      </c>
      <c r="D14" s="4" t="s">
        <v>97</v>
      </c>
      <c r="E14" s="4" t="s">
        <v>98</v>
      </c>
      <c r="F14" s="4" t="s">
        <v>99</v>
      </c>
      <c r="G14" s="4" t="s">
        <v>100</v>
      </c>
    </row>
    <row r="15" spans="1:7" x14ac:dyDescent="0.3">
      <c r="A15" s="9"/>
      <c r="B15" s="9"/>
      <c r="C15" s="9"/>
      <c r="D15" s="9"/>
      <c r="E15" s="9"/>
      <c r="F15" s="9"/>
      <c r="G15" s="9"/>
    </row>
    <row r="16" spans="1:7" x14ac:dyDescent="0.3">
      <c r="A16" s="9"/>
      <c r="B16" s="9"/>
      <c r="C16" s="9"/>
      <c r="D16" s="9"/>
      <c r="E16" s="9"/>
      <c r="F16" s="9"/>
      <c r="G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inciso a</vt:lpstr>
      <vt:lpstr>inciso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2025-09-29T04:25:11Z</dcterms:created>
  <dcterms:modified xsi:type="dcterms:W3CDTF">2025-09-29T22:08:52Z</dcterms:modified>
</cp:coreProperties>
</file>