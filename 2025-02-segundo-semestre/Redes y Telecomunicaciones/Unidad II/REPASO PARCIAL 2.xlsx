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Redes y Telecomunicaciones\Unidad II\"/>
    </mc:Choice>
  </mc:AlternateContent>
  <xr:revisionPtr revIDLastSave="0" documentId="13_ncr:1_{8D0C86B5-BFE4-4DE0-AA2C-2F801F4C22DD}" xr6:coauthVersionLast="47" xr6:coauthVersionMax="47" xr10:uidLastSave="{00000000-0000-0000-0000-000000000000}"/>
  <bookViews>
    <workbookView xWindow="-120" yWindow="-120" windowWidth="29040" windowHeight="16440" activeTab="1" xr2:uid="{D8D441FC-E92E-4DCF-8959-8872CF1FBCBD}"/>
  </bookViews>
  <sheets>
    <sheet name="Hoja1" sheetId="1" r:id="rId1"/>
    <sheet name="Activida 1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7" i="1"/>
  <c r="V6" i="1"/>
  <c r="V3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<sst xmlns="http://schemas.openxmlformats.org/spreadsheetml/2006/main" count="235" uniqueCount="165">
  <si>
    <t>DEPARTAMENTO</t>
  </si>
  <si>
    <t>ID RED</t>
  </si>
  <si>
    <t>MASCARA DE SUBRED</t>
  </si>
  <si>
    <t>CIDR</t>
  </si>
  <si>
    <t>RANGO UTILIZABLE</t>
  </si>
  <si>
    <t>GATEWAY</t>
  </si>
  <si>
    <t>BROADCAST</t>
  </si>
  <si>
    <t>Desarrollo e Innovación</t>
  </si>
  <si>
    <t>Red de invitados</t>
  </si>
  <si>
    <t>IoT</t>
  </si>
  <si>
    <t>Soporte Técnico</t>
  </si>
  <si>
    <t>Sala de servidores</t>
  </si>
  <si>
    <t>Marketin</t>
  </si>
  <si>
    <t>Dirección ejecutiva</t>
  </si>
  <si>
    <t>192.168.0.0/21</t>
  </si>
  <si>
    <t>2^8 - 2 =254</t>
  </si>
  <si>
    <t>32 - 8 = 24</t>
  </si>
  <si>
    <t>/24</t>
  </si>
  <si>
    <t>192.168.0.0</t>
  </si>
  <si>
    <t>255.255.255.0</t>
  </si>
  <si>
    <t>192.168.0.1 - 192.168.0.254</t>
  </si>
  <si>
    <t>192.168.0.1</t>
  </si>
  <si>
    <t>192.168.0.255</t>
  </si>
  <si>
    <t>2^7 - 2 = 126</t>
  </si>
  <si>
    <t>32 - 7 = 25</t>
  </si>
  <si>
    <t>/25</t>
  </si>
  <si>
    <t>192.168.1.0</t>
  </si>
  <si>
    <t>192.168.1.1</t>
  </si>
  <si>
    <t>255.255.255.128</t>
  </si>
  <si>
    <t>192.168.1.128</t>
  </si>
  <si>
    <t>192.168.1.129</t>
  </si>
  <si>
    <t>192.168.1.255</t>
  </si>
  <si>
    <t>192.168.2.0</t>
  </si>
  <si>
    <t>192.168.2.1</t>
  </si>
  <si>
    <t>192.168.2.63</t>
  </si>
  <si>
    <t>192.168.2.64</t>
  </si>
  <si>
    <t>192.168.2.65</t>
  </si>
  <si>
    <t>192.168.2.127</t>
  </si>
  <si>
    <t>192.168.2.128</t>
  </si>
  <si>
    <t>192.168.2.129</t>
  </si>
  <si>
    <t>192.168.2.191</t>
  </si>
  <si>
    <t>192.168.2.192</t>
  </si>
  <si>
    <t>192.168.2.193</t>
  </si>
  <si>
    <t>192.168.2.223</t>
  </si>
  <si>
    <t>192.168.1.1 - 192.168.1.126</t>
  </si>
  <si>
    <t>92.168.1.127</t>
  </si>
  <si>
    <t>192.168.1.129 - 192.168.1.254</t>
  </si>
  <si>
    <t>2^6 - 2 = 62</t>
  </si>
  <si>
    <t>32 - 6 = 26</t>
  </si>
  <si>
    <t>/26</t>
  </si>
  <si>
    <t>192.168.2.1 - 192.168.2.62</t>
  </si>
  <si>
    <t>192.168.2.65 - 192.168.2.126</t>
  </si>
  <si>
    <t>192.168.2.129 - 192.168.2.190</t>
  </si>
  <si>
    <t>2^5 - 2 = 30</t>
  </si>
  <si>
    <t>32 - 5 = 27</t>
  </si>
  <si>
    <t>/27</t>
  </si>
  <si>
    <t>192.168.2.193 - 192.168.2.222</t>
  </si>
  <si>
    <t>/24 → 255.255.255.0</t>
  </si>
  <si>
    <t>/25 → 255.255.255.128</t>
  </si>
  <si>
    <t>/26 → 255.255.255.192</t>
  </si>
  <si>
    <t>/27 → 255.255.255.224</t>
  </si>
  <si>
    <t>/28 → 255.255.255.240</t>
  </si>
  <si>
    <t>/29 → 255.255.255.248</t>
  </si>
  <si>
    <t>/30 → 255.255.255.252</t>
  </si>
  <si>
    <t>NO. HOST</t>
  </si>
  <si>
    <t>Desarrollo de software</t>
  </si>
  <si>
    <t>Operaciones y logistica</t>
  </si>
  <si>
    <t>Ventas y marketing</t>
  </si>
  <si>
    <t>Administración y finanzas</t>
  </si>
  <si>
    <t xml:space="preserve">Soporte técnico </t>
  </si>
  <si>
    <t xml:space="preserve">Dirección ejecutiva </t>
  </si>
  <si>
    <t>10.0.0.0</t>
  </si>
  <si>
    <t>10.0.0.1</t>
  </si>
  <si>
    <t>10.0.0.255</t>
  </si>
  <si>
    <t>10.0.0.1 - 10.0.0.254</t>
  </si>
  <si>
    <t>10.0.1.0</t>
  </si>
  <si>
    <t>10.0.1.1 - 10.0.1.126</t>
  </si>
  <si>
    <t>10.0.1.1</t>
  </si>
  <si>
    <t>10.0.1.127</t>
  </si>
  <si>
    <t>10.0.1.128</t>
  </si>
  <si>
    <t>MÁSCARA</t>
  </si>
  <si>
    <t>Desarrollo de software (189)</t>
  </si>
  <si>
    <t>10.0.0.1 – 10.0.0.254</t>
  </si>
  <si>
    <t>10.0.1.1 – 10.0.1.126</t>
  </si>
  <si>
    <t>Operaciones y logística (84)</t>
  </si>
  <si>
    <t>10.0.1.129 – 10.0.1.254</t>
  </si>
  <si>
    <t>10.0.1.129</t>
  </si>
  <si>
    <t>10.0.1.255</t>
  </si>
  <si>
    <t>Ventas y marketing (68)</t>
  </si>
  <si>
    <t>10.0.2.0</t>
  </si>
  <si>
    <t>10.0.2.1 – 10.0.2.126</t>
  </si>
  <si>
    <t>10.0.2.1</t>
  </si>
  <si>
    <t>10.0.2.127</t>
  </si>
  <si>
    <t>Administracion y finanzas (63)</t>
  </si>
  <si>
    <t>10.0.2.128</t>
  </si>
  <si>
    <t>10.0.2.129 – 10.0.2.254</t>
  </si>
  <si>
    <t>10.0.2.129</t>
  </si>
  <si>
    <t>10.0.2.255</t>
  </si>
  <si>
    <t>Soporte Técnico TI (42)</t>
  </si>
  <si>
    <t>10.0.3.0</t>
  </si>
  <si>
    <t>255.255.255.192</t>
  </si>
  <si>
    <t>10.0.3.1 – 10.0.3.62</t>
  </si>
  <si>
    <t>10.0.3.1</t>
  </si>
  <si>
    <t>10.0.3.63</t>
  </si>
  <si>
    <t>Dirección ejecutiva (8)</t>
  </si>
  <si>
    <t>10.0.3.64</t>
  </si>
  <si>
    <t>255.255.255.240</t>
  </si>
  <si>
    <t>/28</t>
  </si>
  <si>
    <t>10.0.3.65 – 10.0.3.78</t>
  </si>
  <si>
    <t>10.0.3.65</t>
  </si>
  <si>
    <t>10.0.3.79</t>
  </si>
  <si>
    <t>Departamento</t>
  </si>
  <si>
    <t>Posible Crecimiento (86)</t>
  </si>
  <si>
    <t>No. Host</t>
  </si>
  <si>
    <t>Id de Red</t>
  </si>
  <si>
    <t>Máscara de Subred</t>
  </si>
  <si>
    <t>Rango Utilizable</t>
  </si>
  <si>
    <t>Gateway</t>
  </si>
  <si>
    <t>Broadcast</t>
  </si>
  <si>
    <t>Estudiantes</t>
  </si>
  <si>
    <t>255.255.240.0</t>
  </si>
  <si>
    <t>/20</t>
  </si>
  <si>
    <t>192.168.0.1 - 192.168.15.254</t>
  </si>
  <si>
    <t>192.168.15.255</t>
  </si>
  <si>
    <t>Docentes</t>
  </si>
  <si>
    <t>192.168.16.0</t>
  </si>
  <si>
    <t>255.255.255.224</t>
  </si>
  <si>
    <t>192.168.16.1 - 192.168.16.30</t>
  </si>
  <si>
    <t>192.168.16.1</t>
  </si>
  <si>
    <t>192.168.16.31</t>
  </si>
  <si>
    <t>Administración</t>
  </si>
  <si>
    <t>192.168.16.32</t>
  </si>
  <si>
    <t>192.168.16.33 - 192.168.16.62</t>
  </si>
  <si>
    <t>192.168.16.33</t>
  </si>
  <si>
    <t>192.168.16.63</t>
  </si>
  <si>
    <t>Finanzas</t>
  </si>
  <si>
    <t>192.168.16.64</t>
  </si>
  <si>
    <t>192.168.16.65 - 192.168.16.94</t>
  </si>
  <si>
    <t>192.168.16.65</t>
  </si>
  <si>
    <t>192.168.16.95</t>
  </si>
  <si>
    <t>Dirección</t>
  </si>
  <si>
    <t>192.168.16.96</t>
  </si>
  <si>
    <t>192.168.16.97 - 192.168.16.126</t>
  </si>
  <si>
    <t>192.168.16.97</t>
  </si>
  <si>
    <t>192.168.16.127</t>
  </si>
  <si>
    <t>Coordinación</t>
  </si>
  <si>
    <t>192.168.16.128</t>
  </si>
  <si>
    <t>192.168.16.129 - 192.168.16.158</t>
  </si>
  <si>
    <t>192.168.16.129</t>
  </si>
  <si>
    <t>192.168.16.159</t>
  </si>
  <si>
    <t>Laboratorio</t>
  </si>
  <si>
    <t>192.168.16.160</t>
  </si>
  <si>
    <t>192.168.16.161 - 192.168.16.190</t>
  </si>
  <si>
    <t>192.168.16.161</t>
  </si>
  <si>
    <t>192.168.16.191</t>
  </si>
  <si>
    <t>Biblioteca</t>
  </si>
  <si>
    <t>192.168.16.192</t>
  </si>
  <si>
    <t>192.168.16.193 - 192.168.16.222</t>
  </si>
  <si>
    <t>192.168.16.193</t>
  </si>
  <si>
    <t>192.168.16.223</t>
  </si>
  <si>
    <t>Caja</t>
  </si>
  <si>
    <t>192.168.16.224</t>
  </si>
  <si>
    <t>192.168.16.225 - 192.168.16.254</t>
  </si>
  <si>
    <t>192.168.16.225</t>
  </si>
  <si>
    <t>192.168.16.255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</si>
</sst>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85725</xdr:rowOff>
    </xdr:from>
    <xdr:to>
      <xdr:col>10</xdr:col>
      <xdr:colOff>401116</xdr:colOff>
      <xdr:row>5</xdr:row>
      <xdr:rowOff>324096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46423D5-7C83-2E46-CDD3-45455D775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276225"/>
          <a:ext cx="7640116" cy="1762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238125</xdr:colOff>
      <xdr:row>1</xdr:row>
      <xdr:rowOff>152400</xdr:rowOff>
    </xdr:from>
    <xdr:to>
      <xdr:col>18</xdr:col>
      <xdr:colOff>228918</xdr:colOff>
      <xdr:row>16</xdr:row>
      <xdr:rowOff>134012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3A012F-C361-1E20-CCAE-A8A44A4AA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2100" y="342900"/>
          <a:ext cx="2276793" cy="4744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3443-F89B-4EAE-BCA5-B2DB84E64356}">
  <dimension ref="D2:AC30"/>
  <sheetViews>
    <sheetView topLeftCell="I1" workbookViewId="0">
      <selection activeCell="R3" sqref="R3"/>
    </sheetView>
  </sheetViews>
  <sheetFormatPr baseColWidth="10" defaultRowHeight="15" x14ac:dyDescent="0.25"/>
  <cols>
    <col min="13" max="13" width="15.28515625" bestFit="1" customWidth="1"/>
    <col min="14" max="14" width="13.140625" customWidth="1"/>
    <col min="15" max="15" width="14.7109375" bestFit="1" customWidth="1"/>
    <col min="17" max="17" width="15.140625" customWidth="1"/>
    <col min="18" max="18" width="12.140625" customWidth="1"/>
    <col min="19" max="19" width="12.7109375" bestFit="1" customWidth="1"/>
    <col min="23" max="23" width="17.28515625" customWidth="1"/>
  </cols>
  <sheetData>
    <row r="2" spans="4:29" ht="30" x14ac:dyDescent="0.25"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V2" s="1" t="s">
        <v>64</v>
      </c>
      <c r="W2" s="1" t="s">
        <v>0</v>
      </c>
      <c r="X2" s="1" t="s">
        <v>1</v>
      </c>
      <c r="Y2" s="1" t="s">
        <v>2</v>
      </c>
      <c r="Z2" s="1" t="s">
        <v>3</v>
      </c>
      <c r="AA2" s="1" t="s">
        <v>4</v>
      </c>
      <c r="AB2" s="1" t="s">
        <v>5</v>
      </c>
      <c r="AC2" s="1" t="s">
        <v>6</v>
      </c>
    </row>
    <row r="3" spans="4:29" ht="30" x14ac:dyDescent="0.25">
      <c r="L3">
        <f>150*1.45</f>
        <v>217.5</v>
      </c>
      <c r="M3" s="1" t="s">
        <v>7</v>
      </c>
      <c r="N3" t="s">
        <v>18</v>
      </c>
      <c r="O3" t="s">
        <v>19</v>
      </c>
      <c r="P3" t="s">
        <v>17</v>
      </c>
      <c r="Q3" s="2" t="s">
        <v>20</v>
      </c>
      <c r="R3" t="s">
        <v>21</v>
      </c>
      <c r="S3" t="s">
        <v>22</v>
      </c>
      <c r="V3" s="1">
        <f>180*1.05</f>
        <v>189</v>
      </c>
      <c r="W3" s="1" t="s">
        <v>65</v>
      </c>
      <c r="X3" s="1" t="s">
        <v>71</v>
      </c>
      <c r="Y3" s="1" t="s">
        <v>19</v>
      </c>
      <c r="Z3" s="1">
        <v>24</v>
      </c>
      <c r="AA3" s="1" t="s">
        <v>74</v>
      </c>
      <c r="AB3" s="1" t="s">
        <v>72</v>
      </c>
      <c r="AC3" s="1" t="s">
        <v>73</v>
      </c>
    </row>
    <row r="4" spans="4:29" ht="30" x14ac:dyDescent="0.25">
      <c r="L4">
        <f>80*1.15</f>
        <v>92</v>
      </c>
      <c r="M4" s="1" t="s">
        <v>8</v>
      </c>
      <c r="N4" t="s">
        <v>26</v>
      </c>
      <c r="O4" t="s">
        <v>28</v>
      </c>
      <c r="P4" t="s">
        <v>25</v>
      </c>
      <c r="Q4" s="2" t="s">
        <v>44</v>
      </c>
      <c r="R4" t="s">
        <v>27</v>
      </c>
      <c r="S4" t="s">
        <v>45</v>
      </c>
      <c r="V4" s="1">
        <f>80*1.05</f>
        <v>84</v>
      </c>
      <c r="W4" s="1" t="s">
        <v>66</v>
      </c>
      <c r="X4" s="1" t="s">
        <v>75</v>
      </c>
      <c r="Y4" s="1" t="s">
        <v>28</v>
      </c>
      <c r="Z4" s="1">
        <v>25</v>
      </c>
      <c r="AA4" s="1" t="s">
        <v>76</v>
      </c>
      <c r="AB4" s="1" t="s">
        <v>77</v>
      </c>
      <c r="AC4" s="1" t="s">
        <v>78</v>
      </c>
    </row>
    <row r="5" spans="4:29" ht="30" x14ac:dyDescent="0.25">
      <c r="L5">
        <f>60*1.5</f>
        <v>90</v>
      </c>
      <c r="M5" s="1" t="s">
        <v>9</v>
      </c>
      <c r="N5" t="s">
        <v>29</v>
      </c>
      <c r="O5" t="s">
        <v>28</v>
      </c>
      <c r="P5" t="s">
        <v>25</v>
      </c>
      <c r="Q5" s="2" t="s">
        <v>46</v>
      </c>
      <c r="R5" t="s">
        <v>30</v>
      </c>
      <c r="S5" t="s">
        <v>31</v>
      </c>
      <c r="V5" s="1">
        <v>63</v>
      </c>
      <c r="W5" s="1" t="s">
        <v>67</v>
      </c>
      <c r="X5" s="1" t="s">
        <v>79</v>
      </c>
      <c r="Y5" s="1"/>
      <c r="Z5" s="1"/>
      <c r="AA5" s="1"/>
      <c r="AB5" s="1"/>
      <c r="AC5" s="1"/>
    </row>
    <row r="6" spans="4:29" ht="30" x14ac:dyDescent="0.25">
      <c r="K6">
        <v>57</v>
      </c>
      <c r="L6">
        <f>45*1.25</f>
        <v>56.25</v>
      </c>
      <c r="M6" s="1" t="s">
        <v>10</v>
      </c>
      <c r="N6" s="3" t="s">
        <v>32</v>
      </c>
      <c r="P6" t="s">
        <v>49</v>
      </c>
      <c r="Q6" s="2" t="s">
        <v>50</v>
      </c>
      <c r="R6" t="s">
        <v>33</v>
      </c>
      <c r="S6" t="s">
        <v>34</v>
      </c>
      <c r="V6" s="1">
        <f>60*1.05</f>
        <v>63</v>
      </c>
      <c r="W6" s="1" t="s">
        <v>68</v>
      </c>
      <c r="X6" s="1"/>
      <c r="Y6" s="1"/>
      <c r="Z6" s="1"/>
      <c r="AA6" s="1"/>
      <c r="AB6" s="1"/>
      <c r="AC6" s="1"/>
    </row>
    <row r="7" spans="4:29" ht="36.75" customHeight="1" x14ac:dyDescent="0.25">
      <c r="L7">
        <f>40*1.2</f>
        <v>48</v>
      </c>
      <c r="M7" s="1" t="s">
        <v>11</v>
      </c>
      <c r="N7" s="3" t="s">
        <v>35</v>
      </c>
      <c r="P7" t="s">
        <v>49</v>
      </c>
      <c r="Q7" s="2" t="s">
        <v>51</v>
      </c>
      <c r="R7" t="s">
        <v>36</v>
      </c>
      <c r="S7" t="s">
        <v>37</v>
      </c>
      <c r="V7" s="1">
        <f>40*1.05</f>
        <v>42</v>
      </c>
      <c r="W7" s="1" t="s">
        <v>69</v>
      </c>
      <c r="X7" s="1"/>
      <c r="Y7" s="1"/>
      <c r="Z7" s="1"/>
      <c r="AA7" s="1"/>
      <c r="AB7" s="1"/>
      <c r="AC7" s="1"/>
    </row>
    <row r="8" spans="4:29" ht="30" x14ac:dyDescent="0.25">
      <c r="K8">
        <v>46</v>
      </c>
      <c r="L8">
        <f>35*1.3</f>
        <v>45.5</v>
      </c>
      <c r="M8" s="1" t="s">
        <v>12</v>
      </c>
      <c r="N8" s="3" t="s">
        <v>38</v>
      </c>
      <c r="P8" t="s">
        <v>49</v>
      </c>
      <c r="Q8" s="2" t="s">
        <v>52</v>
      </c>
      <c r="R8" t="s">
        <v>39</v>
      </c>
      <c r="S8" t="s">
        <v>40</v>
      </c>
      <c r="V8" s="1">
        <v>8</v>
      </c>
      <c r="W8" s="1" t="s">
        <v>70</v>
      </c>
      <c r="X8" s="1"/>
      <c r="Y8" s="1"/>
      <c r="Z8" s="1"/>
      <c r="AA8" s="1"/>
      <c r="AB8" s="1"/>
      <c r="AC8" s="1"/>
    </row>
    <row r="9" spans="4:29" ht="30" x14ac:dyDescent="0.25">
      <c r="K9">
        <v>28</v>
      </c>
      <c r="L9">
        <f>25*1.1</f>
        <v>27.500000000000004</v>
      </c>
      <c r="M9" s="1" t="s">
        <v>13</v>
      </c>
      <c r="N9" t="s">
        <v>41</v>
      </c>
      <c r="P9" t="s">
        <v>55</v>
      </c>
      <c r="Q9" s="2" t="s">
        <v>56</v>
      </c>
      <c r="R9" t="s">
        <v>42</v>
      </c>
      <c r="S9" t="s">
        <v>43</v>
      </c>
    </row>
    <row r="10" spans="4:29" x14ac:dyDescent="0.25">
      <c r="Q10" s="2"/>
      <c r="X10" t="s">
        <v>75</v>
      </c>
    </row>
    <row r="11" spans="4:29" x14ac:dyDescent="0.25">
      <c r="Q11" s="2"/>
      <c r="X11" t="s">
        <v>23</v>
      </c>
    </row>
    <row r="12" spans="4:29" x14ac:dyDescent="0.25">
      <c r="L12" t="s">
        <v>14</v>
      </c>
      <c r="N12" s="3" t="s">
        <v>38</v>
      </c>
      <c r="X12" t="s">
        <v>24</v>
      </c>
    </row>
    <row r="13" spans="4:29" x14ac:dyDescent="0.25">
      <c r="L13" t="s">
        <v>15</v>
      </c>
      <c r="N13" t="s">
        <v>47</v>
      </c>
    </row>
    <row r="14" spans="4:29" x14ac:dyDescent="0.25">
      <c r="L14" t="s">
        <v>16</v>
      </c>
      <c r="N14" t="s">
        <v>48</v>
      </c>
    </row>
    <row r="15" spans="4:29" x14ac:dyDescent="0.25">
      <c r="D15" t="s">
        <v>57</v>
      </c>
    </row>
    <row r="16" spans="4:29" x14ac:dyDescent="0.25">
      <c r="L16" t="s">
        <v>18</v>
      </c>
      <c r="N16" s="3" t="s">
        <v>38</v>
      </c>
    </row>
    <row r="17" spans="4:14" x14ac:dyDescent="0.25">
      <c r="D17" t="s">
        <v>58</v>
      </c>
      <c r="L17" t="s">
        <v>23</v>
      </c>
      <c r="N17" t="s">
        <v>53</v>
      </c>
    </row>
    <row r="18" spans="4:14" x14ac:dyDescent="0.25">
      <c r="L18" t="s">
        <v>24</v>
      </c>
      <c r="N18" t="s">
        <v>54</v>
      </c>
    </row>
    <row r="19" spans="4:14" x14ac:dyDescent="0.25">
      <c r="D19" t="s">
        <v>59</v>
      </c>
    </row>
    <row r="20" spans="4:14" x14ac:dyDescent="0.25">
      <c r="L20" t="s">
        <v>26</v>
      </c>
    </row>
    <row r="21" spans="4:14" x14ac:dyDescent="0.25">
      <c r="D21" t="s">
        <v>60</v>
      </c>
      <c r="L21" t="s">
        <v>23</v>
      </c>
    </row>
    <row r="22" spans="4:14" x14ac:dyDescent="0.25">
      <c r="L22" t="s">
        <v>24</v>
      </c>
    </row>
    <row r="23" spans="4:14" x14ac:dyDescent="0.25">
      <c r="D23" t="s">
        <v>61</v>
      </c>
    </row>
    <row r="24" spans="4:14" x14ac:dyDescent="0.25">
      <c r="L24" t="s">
        <v>32</v>
      </c>
    </row>
    <row r="25" spans="4:14" x14ac:dyDescent="0.25">
      <c r="D25" t="s">
        <v>62</v>
      </c>
      <c r="L25" t="s">
        <v>47</v>
      </c>
    </row>
    <row r="26" spans="4:14" x14ac:dyDescent="0.25">
      <c r="L26" t="s">
        <v>48</v>
      </c>
    </row>
    <row r="27" spans="4:14" x14ac:dyDescent="0.25">
      <c r="D27" t="s">
        <v>63</v>
      </c>
    </row>
    <row r="28" spans="4:14" x14ac:dyDescent="0.25">
      <c r="L28" s="3" t="s">
        <v>35</v>
      </c>
    </row>
    <row r="29" spans="4:14" x14ac:dyDescent="0.25">
      <c r="L29" t="s">
        <v>47</v>
      </c>
    </row>
    <row r="30" spans="4:14" x14ac:dyDescent="0.25">
      <c r="L30" t="s">
        <v>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53C0-3ED3-4B04-9C71-A873847BC5D8}">
  <dimension ref="A2:H11"/>
  <sheetViews>
    <sheetView tabSelected="1" workbookViewId="0">
      <selection activeCell="J5" sqref="J5"/>
    </sheetView>
  </sheetViews>
  <sheetFormatPr baseColWidth="10" defaultRowHeight="15" x14ac:dyDescent="0.25"/>
  <cols>
    <col min="2" max="2" width="16" customWidth="1"/>
    <col min="3" max="3" width="13.85546875" customWidth="1"/>
    <col min="4" max="4" width="14.7109375" customWidth="1"/>
    <col min="6" max="6" width="14.85546875" customWidth="1"/>
    <col min="7" max="7" width="14.5703125" customWidth="1"/>
    <col min="8" max="8" width="14.42578125" customWidth="1"/>
  </cols>
  <sheetData>
    <row r="2" spans="1:8" ht="30" x14ac:dyDescent="0.25">
      <c r="A2" s="6" t="s">
        <v>113</v>
      </c>
      <c r="B2" s="6" t="s">
        <v>111</v>
      </c>
      <c r="C2" s="6" t="s">
        <v>114</v>
      </c>
      <c r="D2" s="6" t="s">
        <v>115</v>
      </c>
      <c r="E2" s="6" t="s">
        <v>3</v>
      </c>
      <c r="F2" s="6" t="s">
        <v>116</v>
      </c>
      <c r="G2" s="6" t="s">
        <v>117</v>
      </c>
      <c r="H2" s="6" t="s">
        <v>118</v>
      </c>
    </row>
    <row r="3" spans="1:8" ht="30" x14ac:dyDescent="0.25">
      <c r="A3" s="7">
        <v>3000</v>
      </c>
      <c r="B3" s="7" t="s">
        <v>119</v>
      </c>
      <c r="C3" s="7" t="s">
        <v>18</v>
      </c>
      <c r="D3" s="7" t="s">
        <v>120</v>
      </c>
      <c r="E3" s="7" t="s">
        <v>121</v>
      </c>
      <c r="F3" s="7" t="s">
        <v>122</v>
      </c>
      <c r="G3" s="7" t="s">
        <v>21</v>
      </c>
      <c r="H3" s="7" t="s">
        <v>123</v>
      </c>
    </row>
    <row r="4" spans="1:8" ht="30" x14ac:dyDescent="0.25">
      <c r="A4" s="7">
        <v>25</v>
      </c>
      <c r="B4" s="7" t="s">
        <v>124</v>
      </c>
      <c r="C4" s="7" t="s">
        <v>125</v>
      </c>
      <c r="D4" s="7" t="s">
        <v>126</v>
      </c>
      <c r="E4" s="7" t="s">
        <v>55</v>
      </c>
      <c r="F4" s="7" t="s">
        <v>127</v>
      </c>
      <c r="G4" s="7" t="s">
        <v>128</v>
      </c>
      <c r="H4" s="7" t="s">
        <v>129</v>
      </c>
    </row>
    <row r="5" spans="1:8" ht="30" x14ac:dyDescent="0.25">
      <c r="A5" s="7">
        <v>20</v>
      </c>
      <c r="B5" s="7" t="s">
        <v>130</v>
      </c>
      <c r="C5" s="7" t="s">
        <v>131</v>
      </c>
      <c r="D5" s="7" t="s">
        <v>126</v>
      </c>
      <c r="E5" s="7" t="s">
        <v>55</v>
      </c>
      <c r="F5" s="7" t="s">
        <v>132</v>
      </c>
      <c r="G5" s="7" t="s">
        <v>133</v>
      </c>
      <c r="H5" s="7" t="s">
        <v>134</v>
      </c>
    </row>
    <row r="6" spans="1:8" ht="30" x14ac:dyDescent="0.25">
      <c r="A6" s="7">
        <v>20</v>
      </c>
      <c r="B6" s="7" t="s">
        <v>135</v>
      </c>
      <c r="C6" s="7" t="s">
        <v>136</v>
      </c>
      <c r="D6" s="7" t="s">
        <v>126</v>
      </c>
      <c r="E6" s="7" t="s">
        <v>55</v>
      </c>
      <c r="F6" s="7" t="s">
        <v>137</v>
      </c>
      <c r="G6" s="7" t="s">
        <v>138</v>
      </c>
      <c r="H6" s="7" t="s">
        <v>139</v>
      </c>
    </row>
    <row r="7" spans="1:8" ht="30" x14ac:dyDescent="0.25">
      <c r="A7" s="7">
        <v>20</v>
      </c>
      <c r="B7" s="7" t="s">
        <v>140</v>
      </c>
      <c r="C7" s="7" t="s">
        <v>141</v>
      </c>
      <c r="D7" s="7" t="s">
        <v>126</v>
      </c>
      <c r="E7" s="7" t="s">
        <v>55</v>
      </c>
      <c r="F7" s="7" t="s">
        <v>142</v>
      </c>
      <c r="G7" s="7" t="s">
        <v>143</v>
      </c>
      <c r="H7" s="7" t="s">
        <v>144</v>
      </c>
    </row>
    <row r="8" spans="1:8" ht="30" x14ac:dyDescent="0.25">
      <c r="A8" s="7">
        <v>20</v>
      </c>
      <c r="B8" s="7" t="s">
        <v>145</v>
      </c>
      <c r="C8" s="7" t="s">
        <v>146</v>
      </c>
      <c r="D8" s="7" t="s">
        <v>126</v>
      </c>
      <c r="E8" s="7" t="s">
        <v>55</v>
      </c>
      <c r="F8" s="7" t="s">
        <v>147</v>
      </c>
      <c r="G8" s="7" t="s">
        <v>148</v>
      </c>
      <c r="H8" s="7" t="s">
        <v>149</v>
      </c>
    </row>
    <row r="9" spans="1:8" ht="30" x14ac:dyDescent="0.25">
      <c r="A9" s="7">
        <v>20</v>
      </c>
      <c r="B9" s="7" t="s">
        <v>150</v>
      </c>
      <c r="C9" s="7" t="s">
        <v>151</v>
      </c>
      <c r="D9" s="7" t="s">
        <v>126</v>
      </c>
      <c r="E9" s="7" t="s">
        <v>55</v>
      </c>
      <c r="F9" s="7" t="s">
        <v>152</v>
      </c>
      <c r="G9" s="7" t="s">
        <v>153</v>
      </c>
      <c r="H9" s="7" t="s">
        <v>154</v>
      </c>
    </row>
    <row r="10" spans="1:8" ht="30" x14ac:dyDescent="0.25">
      <c r="A10" s="7">
        <v>20</v>
      </c>
      <c r="B10" s="7" t="s">
        <v>155</v>
      </c>
      <c r="C10" s="7" t="s">
        <v>156</v>
      </c>
      <c r="D10" s="7" t="s">
        <v>126</v>
      </c>
      <c r="E10" s="7" t="s">
        <v>55</v>
      </c>
      <c r="F10" s="7" t="s">
        <v>157</v>
      </c>
      <c r="G10" s="7" t="s">
        <v>158</v>
      </c>
      <c r="H10" s="7" t="s">
        <v>159</v>
      </c>
    </row>
    <row r="11" spans="1:8" ht="30" x14ac:dyDescent="0.25">
      <c r="A11" s="7">
        <v>20</v>
      </c>
      <c r="B11" s="7" t="s">
        <v>160</v>
      </c>
      <c r="C11" s="7" t="s">
        <v>161</v>
      </c>
      <c r="D11" s="7" t="s">
        <v>126</v>
      </c>
      <c r="E11" s="7" t="s">
        <v>55</v>
      </c>
      <c r="F11" s="7" t="s">
        <v>162</v>
      </c>
      <c r="G11" s="7" t="s">
        <v>163</v>
      </c>
      <c r="H11" s="7" t="s">
        <v>164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5A78-C2F7-4DF6-8936-CA9D87E9B681}">
  <dimension ref="A1:G8"/>
  <sheetViews>
    <sheetView workbookViewId="0">
      <selection activeCell="I8" sqref="I8"/>
    </sheetView>
  </sheetViews>
  <sheetFormatPr baseColWidth="10" defaultRowHeight="15" x14ac:dyDescent="0.25"/>
  <cols>
    <col min="1" max="1" width="18.28515625" customWidth="1"/>
    <col min="3" max="3" width="18.7109375" customWidth="1"/>
    <col min="5" max="5" width="16.28515625" customWidth="1"/>
    <col min="6" max="6" width="15.5703125" customWidth="1"/>
    <col min="7" max="7" width="15.7109375" customWidth="1"/>
  </cols>
  <sheetData>
    <row r="1" spans="1:7" ht="43.15" customHeight="1" x14ac:dyDescent="0.25">
      <c r="A1" s="4" t="s">
        <v>111</v>
      </c>
      <c r="B1" s="4" t="s">
        <v>1</v>
      </c>
      <c r="C1" s="4" t="s">
        <v>80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3.15" customHeight="1" x14ac:dyDescent="0.25">
      <c r="A2" s="5" t="s">
        <v>81</v>
      </c>
      <c r="B2" s="5" t="s">
        <v>71</v>
      </c>
      <c r="C2" s="5" t="s">
        <v>19</v>
      </c>
      <c r="D2" s="5" t="s">
        <v>17</v>
      </c>
      <c r="E2" s="5" t="s">
        <v>82</v>
      </c>
      <c r="F2" s="5" t="s">
        <v>72</v>
      </c>
      <c r="G2" s="5" t="s">
        <v>73</v>
      </c>
    </row>
    <row r="3" spans="1:7" ht="28.9" customHeight="1" x14ac:dyDescent="0.25">
      <c r="A3" s="5" t="s">
        <v>112</v>
      </c>
      <c r="B3" s="5" t="s">
        <v>75</v>
      </c>
      <c r="C3" s="5" t="s">
        <v>28</v>
      </c>
      <c r="D3" s="5" t="s">
        <v>25</v>
      </c>
      <c r="E3" s="5" t="s">
        <v>83</v>
      </c>
      <c r="F3" s="5" t="s">
        <v>77</v>
      </c>
      <c r="G3" s="5" t="s">
        <v>78</v>
      </c>
    </row>
    <row r="4" spans="1:7" ht="43.15" customHeight="1" x14ac:dyDescent="0.25">
      <c r="A4" s="5" t="s">
        <v>84</v>
      </c>
      <c r="B4" s="5" t="s">
        <v>79</v>
      </c>
      <c r="C4" s="5" t="s">
        <v>28</v>
      </c>
      <c r="D4" s="5" t="s">
        <v>25</v>
      </c>
      <c r="E4" s="5" t="s">
        <v>85</v>
      </c>
      <c r="F4" s="5" t="s">
        <v>86</v>
      </c>
      <c r="G4" s="5" t="s">
        <v>87</v>
      </c>
    </row>
    <row r="5" spans="1:7" ht="43.15" customHeight="1" x14ac:dyDescent="0.25">
      <c r="A5" s="5" t="s">
        <v>88</v>
      </c>
      <c r="B5" s="5" t="s">
        <v>89</v>
      </c>
      <c r="C5" s="5" t="s">
        <v>28</v>
      </c>
      <c r="D5" s="5" t="s">
        <v>25</v>
      </c>
      <c r="E5" s="5" t="s">
        <v>90</v>
      </c>
      <c r="F5" s="5" t="s">
        <v>91</v>
      </c>
      <c r="G5" s="5" t="s">
        <v>92</v>
      </c>
    </row>
    <row r="6" spans="1:7" ht="43.15" customHeight="1" x14ac:dyDescent="0.25">
      <c r="A6" s="5" t="s">
        <v>93</v>
      </c>
      <c r="B6" s="5" t="s">
        <v>94</v>
      </c>
      <c r="C6" s="5" t="s">
        <v>28</v>
      </c>
      <c r="D6" s="5" t="s">
        <v>25</v>
      </c>
      <c r="E6" s="5" t="s">
        <v>95</v>
      </c>
      <c r="F6" s="5" t="s">
        <v>96</v>
      </c>
      <c r="G6" s="5" t="s">
        <v>97</v>
      </c>
    </row>
    <row r="7" spans="1:7" ht="43.15" customHeight="1" x14ac:dyDescent="0.25">
      <c r="A7" s="5" t="s">
        <v>98</v>
      </c>
      <c r="B7" s="5" t="s">
        <v>99</v>
      </c>
      <c r="C7" s="5" t="s">
        <v>100</v>
      </c>
      <c r="D7" s="5" t="s">
        <v>49</v>
      </c>
      <c r="E7" s="5" t="s">
        <v>101</v>
      </c>
      <c r="F7" s="5" t="s">
        <v>102</v>
      </c>
      <c r="G7" s="5" t="s">
        <v>103</v>
      </c>
    </row>
    <row r="8" spans="1:7" ht="28.9" customHeight="1" x14ac:dyDescent="0.25">
      <c r="A8" s="5" t="s">
        <v>104</v>
      </c>
      <c r="B8" s="5" t="s">
        <v>105</v>
      </c>
      <c r="C8" s="5" t="s">
        <v>106</v>
      </c>
      <c r="D8" s="5" t="s">
        <v>107</v>
      </c>
      <c r="E8" s="5" t="s">
        <v>108</v>
      </c>
      <c r="F8" s="5" t="s">
        <v>109</v>
      </c>
      <c r="G8" s="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 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2025-10-01T04:27:21Z</dcterms:created>
  <dcterms:modified xsi:type="dcterms:W3CDTF">2026-01-28T05:12:23Z</dcterms:modified>
</cp:coreProperties>
</file>