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Producción y Operaciones I\Unidad 2\"/>
    </mc:Choice>
  </mc:AlternateContent>
  <xr:revisionPtr revIDLastSave="0" documentId="13_ncr:1_{BCBEC2D6-4F7A-4F33-B2EA-D20A379C4A7F}" xr6:coauthVersionLast="47" xr6:coauthVersionMax="47" xr10:uidLastSave="{00000000-0000-0000-0000-000000000000}"/>
  <bookViews>
    <workbookView xWindow="-120" yWindow="-120" windowWidth="29040" windowHeight="16440" activeTab="4" xr2:uid="{9B4DBD87-163C-4972-BD33-C4791DA53E72}"/>
  </bookViews>
  <sheets>
    <sheet name="1" sheetId="1" r:id="rId1"/>
    <sheet name="2" sheetId="3" r:id="rId2"/>
    <sheet name="3" sheetId="4" r:id="rId3"/>
    <sheet name="4" sheetId="5" r:id="rId4"/>
    <sheet name="5" sheetId="6" r:id="rId5"/>
    <sheet name="Formulas" sheetId="2" r:id="rId6"/>
  </sheets>
  <definedNames>
    <definedName name="_xlchart.v1.0" hidden="1">'1'!$A$12:$A$17</definedName>
    <definedName name="_xlchart.v1.1" hidden="1">'1'!$B$11</definedName>
    <definedName name="_xlchart.v1.2" hidden="1">'1'!$B$12:$B$17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5" l="1"/>
  <c r="K40" i="5"/>
  <c r="K41" i="5"/>
  <c r="K42" i="5"/>
  <c r="K43" i="5"/>
  <c r="K44" i="5"/>
  <c r="K45" i="5"/>
  <c r="K46" i="5"/>
  <c r="K47" i="5"/>
  <c r="K48" i="5"/>
  <c r="K49" i="5"/>
  <c r="K39" i="5"/>
  <c r="G47" i="5"/>
  <c r="E47" i="5"/>
  <c r="G40" i="5"/>
  <c r="E42" i="5"/>
  <c r="E41" i="5"/>
  <c r="F37" i="5"/>
  <c r="E38" i="5"/>
  <c r="E37" i="5"/>
  <c r="B65" i="5"/>
  <c r="B60" i="5"/>
  <c r="B61" i="5"/>
  <c r="B62" i="5"/>
  <c r="B63" i="5"/>
  <c r="B64" i="5"/>
  <c r="B59" i="5"/>
  <c r="B54" i="5"/>
  <c r="B55" i="5"/>
  <c r="B56" i="5"/>
  <c r="B57" i="5"/>
  <c r="B58" i="5"/>
  <c r="B53" i="5"/>
  <c r="D34" i="5"/>
  <c r="B50" i="5"/>
  <c r="B39" i="5"/>
  <c r="B40" i="5"/>
  <c r="B41" i="5"/>
  <c r="B42" i="5"/>
  <c r="B43" i="5"/>
  <c r="B44" i="5"/>
  <c r="B45" i="5"/>
  <c r="B46" i="5"/>
  <c r="B47" i="5"/>
  <c r="B48" i="5"/>
  <c r="B49" i="5"/>
  <c r="B38" i="5"/>
  <c r="C35" i="5"/>
  <c r="C34" i="5"/>
  <c r="I19" i="4"/>
  <c r="I20" i="4"/>
  <c r="I18" i="4"/>
  <c r="I17" i="4"/>
  <c r="E24" i="3"/>
  <c r="H18" i="3"/>
  <c r="E23" i="3" s="1"/>
  <c r="F22" i="3"/>
  <c r="E19" i="3"/>
  <c r="E20" i="3"/>
  <c r="E21" i="3"/>
  <c r="E22" i="3"/>
  <c r="E18" i="3"/>
  <c r="D18" i="3"/>
  <c r="D19" i="3" s="1"/>
  <c r="D20" i="3" s="1"/>
  <c r="D21" i="3" s="1"/>
  <c r="D22" i="3" s="1"/>
  <c r="D63" i="1"/>
  <c r="G53" i="1"/>
  <c r="E53" i="1"/>
  <c r="H46" i="1"/>
  <c r="F48" i="1"/>
  <c r="F47" i="1"/>
  <c r="H43" i="1"/>
  <c r="G44" i="1"/>
  <c r="G43" i="1"/>
  <c r="C41" i="1"/>
  <c r="A60" i="1"/>
  <c r="A55" i="1"/>
  <c r="A56" i="1"/>
  <c r="A57" i="1"/>
  <c r="A58" i="1"/>
  <c r="A59" i="1"/>
  <c r="A54" i="1"/>
  <c r="A51" i="1"/>
  <c r="A46" i="1"/>
  <c r="A47" i="1"/>
  <c r="A48" i="1"/>
  <c r="A49" i="1"/>
  <c r="A50" i="1"/>
  <c r="A45" i="1"/>
  <c r="B41" i="1"/>
  <c r="B42" i="1"/>
  <c r="F30" i="1"/>
  <c r="F29" i="1"/>
  <c r="D25" i="1"/>
  <c r="B25" i="1"/>
  <c r="F11" i="1"/>
</calcChain>
</file>

<file path=xl/sharedStrings.xml><?xml version="1.0" encoding="utf-8"?>
<sst xmlns="http://schemas.openxmlformats.org/spreadsheetml/2006/main" count="97" uniqueCount="58">
  <si>
    <t>0.60, 0.30 y 0.10</t>
  </si>
  <si>
    <t xml:space="preserve">Enero </t>
  </si>
  <si>
    <t>Febrero</t>
  </si>
  <si>
    <t xml:space="preserve">Marzo </t>
  </si>
  <si>
    <t>Abril</t>
  </si>
  <si>
    <t>Mayo</t>
  </si>
  <si>
    <t>Junio</t>
  </si>
  <si>
    <t>Demanda</t>
  </si>
  <si>
    <t>a)</t>
  </si>
  <si>
    <t>Promedio Movil Ponderado</t>
  </si>
  <si>
    <t>ft = julio</t>
  </si>
  <si>
    <t>Pesos</t>
  </si>
  <si>
    <t>Julio</t>
  </si>
  <si>
    <t>Pronostico de Julio</t>
  </si>
  <si>
    <t>b)</t>
  </si>
  <si>
    <t>Promedio Movil Simple</t>
  </si>
  <si>
    <t>ft= pronostico de julio</t>
  </si>
  <si>
    <t>n = numero de periodos</t>
  </si>
  <si>
    <t>c)</t>
  </si>
  <si>
    <t xml:space="preserve">Pronostico junio </t>
  </si>
  <si>
    <t>α</t>
  </si>
  <si>
    <t xml:space="preserve">Suavización Exponenecial Simple (Exponencial Aminorado) </t>
  </si>
  <si>
    <t>ft = pronostico para julio</t>
  </si>
  <si>
    <t>d)</t>
  </si>
  <si>
    <t xml:space="preserve">Regresión Lineal Simple (Ecuación de la recta) </t>
  </si>
  <si>
    <t xml:space="preserve">Sacando la Ecuación de la Recta </t>
  </si>
  <si>
    <t>Encontrando b</t>
  </si>
  <si>
    <t>Datos</t>
  </si>
  <si>
    <t>n</t>
  </si>
  <si>
    <t>x</t>
  </si>
  <si>
    <t>y</t>
  </si>
  <si>
    <t>x^2</t>
  </si>
  <si>
    <t>xy</t>
  </si>
  <si>
    <t>Encontrando a</t>
  </si>
  <si>
    <t>y media</t>
  </si>
  <si>
    <t>x media</t>
  </si>
  <si>
    <t>Ecuación de la linea Recta</t>
  </si>
  <si>
    <t>Y =</t>
  </si>
  <si>
    <t>+</t>
  </si>
  <si>
    <t>e)</t>
  </si>
  <si>
    <t>Pronóstico para Julio</t>
  </si>
  <si>
    <t>Enero</t>
  </si>
  <si>
    <t>Marzo</t>
  </si>
  <si>
    <t>Real</t>
  </si>
  <si>
    <t>Pronóstico</t>
  </si>
  <si>
    <t>DMA</t>
  </si>
  <si>
    <t>Meses</t>
  </si>
  <si>
    <t>Enero-febrero</t>
  </si>
  <si>
    <t>marzo-abril</t>
  </si>
  <si>
    <t>mayo-junio</t>
  </si>
  <si>
    <t>julio-agost</t>
  </si>
  <si>
    <t>septiembre-octubre</t>
  </si>
  <si>
    <t>noviembre-diciembre</t>
  </si>
  <si>
    <t>Demanda Año 1 (Unidades)</t>
  </si>
  <si>
    <t>Demanda Año 2(Unidades)</t>
  </si>
  <si>
    <t>Ecuación de la recta</t>
  </si>
  <si>
    <t>No. Meses</t>
  </si>
  <si>
    <t>Ecuación de la linea 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</si>
</sst>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" fontId="0" fillId="0" borderId="0" xfId="0" applyNumberFormat="1"/>
    <xf numFmtId="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'1'!$B$11</c:f>
              <c:strCache>
                <c:ptCount val="1"/>
                <c:pt idx="0">
                  <c:v>Demanda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G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'1'!$A$12:$A$17</c:f>
              <c:strCache>
                <c:ptCount val="6"/>
                <c:pt idx="0">
                  <c:v>Enero </c:v>
                </c:pt>
                <c:pt idx="1">
                  <c:v>Febrero</c:v>
                </c:pt>
                <c:pt idx="2">
                  <c:v>Marzo 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'1'!$B$12:$B$17</c:f>
              <c:numCache>
                <c:formatCode>General</c:formatCode>
                <c:ptCount val="6"/>
                <c:pt idx="0">
                  <c:v>12</c:v>
                </c:pt>
                <c:pt idx="1">
                  <c:v>11</c:v>
                </c:pt>
                <c:pt idx="2">
                  <c:v>15</c:v>
                </c:pt>
                <c:pt idx="3">
                  <c:v>12</c:v>
                </c:pt>
                <c:pt idx="4">
                  <c:v>16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3-47EA-BBBC-84B0675DE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242271"/>
        <c:axId val="245242751"/>
      </c:lineChart>
      <c:catAx>
        <c:axId val="24524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45242751"/>
        <c:crosses val="autoZero"/>
        <c:auto val="1"/>
        <c:lblAlgn val="ctr"/>
        <c:lblOffset val="100"/>
        <c:noMultiLvlLbl val="0"/>
      </c:catAx>
      <c:valAx>
        <c:axId val="24524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4524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'4'!$B$19</c:f>
              <c:strCache>
                <c:ptCount val="1"/>
                <c:pt idx="0">
                  <c:v>Demanda Año 1 (Unidades)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'4'!$A$20:$A$25</c:f>
              <c:strCache>
                <c:ptCount val="6"/>
                <c:pt idx="0">
                  <c:v>Enero-febrero</c:v>
                </c:pt>
                <c:pt idx="1">
                  <c:v>marzo-abril</c:v>
                </c:pt>
                <c:pt idx="2">
                  <c:v>mayo-junio</c:v>
                </c:pt>
                <c:pt idx="3">
                  <c:v>julio-agost</c:v>
                </c:pt>
                <c:pt idx="4">
                  <c:v>septiembre-octubre</c:v>
                </c:pt>
                <c:pt idx="5">
                  <c:v>noviembre-diciembre</c:v>
                </c:pt>
              </c:strCache>
            </c:strRef>
          </c:cat>
          <c:val>
            <c:numRef>
              <c:f>'4'!$B$20:$B$25</c:f>
              <c:numCache>
                <c:formatCode>#,##0.00</c:formatCode>
                <c:ptCount val="6"/>
                <c:pt idx="0">
                  <c:v>109</c:v>
                </c:pt>
                <c:pt idx="1">
                  <c:v>104</c:v>
                </c:pt>
                <c:pt idx="2">
                  <c:v>150</c:v>
                </c:pt>
                <c:pt idx="3">
                  <c:v>170</c:v>
                </c:pt>
                <c:pt idx="4">
                  <c:v>120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D-43F1-A7C3-B5A4D6734977}"/>
            </c:ext>
          </c:extLst>
        </c:ser>
        <c:ser>
          <c:idx val="1"/>
          <c:order val="1"/>
          <c:tx>
            <c:strRef>
              <c:f>'4'!$D$19</c:f>
              <c:strCache>
                <c:ptCount val="1"/>
                <c:pt idx="0">
                  <c:v>Meses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'4'!$A$20:$A$25</c:f>
              <c:strCache>
                <c:ptCount val="6"/>
                <c:pt idx="0">
                  <c:v>Enero-febrero</c:v>
                </c:pt>
                <c:pt idx="1">
                  <c:v>marzo-abril</c:v>
                </c:pt>
                <c:pt idx="2">
                  <c:v>mayo-junio</c:v>
                </c:pt>
                <c:pt idx="3">
                  <c:v>julio-agost</c:v>
                </c:pt>
                <c:pt idx="4">
                  <c:v>septiembre-octubre</c:v>
                </c:pt>
                <c:pt idx="5">
                  <c:v>noviembre-diciembre</c:v>
                </c:pt>
              </c:strCache>
            </c:strRef>
          </c:cat>
          <c:val>
            <c:numRef>
              <c:f>'4'!$D$20:$D$25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D-43F1-A7C3-B5A4D6734977}"/>
            </c:ext>
          </c:extLst>
        </c:ser>
        <c:ser>
          <c:idx val="2"/>
          <c:order val="2"/>
          <c:tx>
            <c:strRef>
              <c:f>'4'!$E$19</c:f>
              <c:strCache>
                <c:ptCount val="1"/>
                <c:pt idx="0">
                  <c:v>Demanda Año 2(Unidades)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'4'!$A$20:$A$25</c:f>
              <c:strCache>
                <c:ptCount val="6"/>
                <c:pt idx="0">
                  <c:v>Enero-febrero</c:v>
                </c:pt>
                <c:pt idx="1">
                  <c:v>marzo-abril</c:v>
                </c:pt>
                <c:pt idx="2">
                  <c:v>mayo-junio</c:v>
                </c:pt>
                <c:pt idx="3">
                  <c:v>julio-agost</c:v>
                </c:pt>
                <c:pt idx="4">
                  <c:v>septiembre-octubre</c:v>
                </c:pt>
                <c:pt idx="5">
                  <c:v>noviembre-diciembre</c:v>
                </c:pt>
              </c:strCache>
            </c:strRef>
          </c:cat>
          <c:val>
            <c:numRef>
              <c:f>'4'!$E$20:$E$25</c:f>
              <c:numCache>
                <c:formatCode>#,##0.00</c:formatCode>
                <c:ptCount val="6"/>
                <c:pt idx="0">
                  <c:v>115</c:v>
                </c:pt>
                <c:pt idx="1">
                  <c:v>112</c:v>
                </c:pt>
                <c:pt idx="2">
                  <c:v>159</c:v>
                </c:pt>
                <c:pt idx="3">
                  <c:v>182</c:v>
                </c:pt>
                <c:pt idx="4">
                  <c:v>126</c:v>
                </c:pt>
                <c:pt idx="5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D-43F1-A7C3-B5A4D6734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240415"/>
        <c:axId val="185285215"/>
      </c:lineChart>
      <c:catAx>
        <c:axId val="24524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85285215"/>
        <c:crosses val="autoZero"/>
        <c:auto val="1"/>
        <c:lblAlgn val="ctr"/>
        <c:lblOffset val="100"/>
        <c:noMultiLvlLbl val="0"/>
      </c:catAx>
      <c:valAx>
        <c:axId val="18528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4524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19050</xdr:rowOff>
    </xdr:from>
    <xdr:to>
      <xdr:col>11</xdr:col>
      <xdr:colOff>191117</xdr:colOff>
      <xdr:row>8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96A2F8-8141-6C2C-BB37-28CA3B4BC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19050"/>
          <a:ext cx="8268316" cy="1533525"/>
        </a:xfrm>
        <a:prstGeom prst="rect">
          <a:avLst/>
        </a:prstGeom>
      </xdr:spPr>
    </xdr:pic>
    <xdr:clientData/>
  </xdr:twoCellAnchor>
  <xdr:twoCellAnchor>
    <xdr:from>
      <xdr:col>8</xdr:col>
      <xdr:colOff>533400</xdr:colOff>
      <xdr:row>12</xdr:row>
      <xdr:rowOff>85725</xdr:rowOff>
    </xdr:from>
    <xdr:to>
      <xdr:col>14</xdr:col>
      <xdr:colOff>533400</xdr:colOff>
      <xdr:row>25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334784-0C48-C07C-D2D9-EE9848642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10696</xdr:colOff>
      <xdr:row>13</xdr:row>
      <xdr:rowOff>143241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8DB13D-07EA-45FB-A42E-F743191BB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92696" cy="26197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77274</xdr:colOff>
      <xdr:row>13</xdr:row>
      <xdr:rowOff>9872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6924EC-63D7-2133-5C1A-ACEC1022A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97274" cy="24863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391606</xdr:colOff>
      <xdr:row>16</xdr:row>
      <xdr:rowOff>181426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F50B0F-4CCB-2718-C958-78BCCA0C3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44906" cy="3229426"/>
        </a:xfrm>
        <a:prstGeom prst="rect">
          <a:avLst/>
        </a:prstGeom>
      </xdr:spPr>
    </xdr:pic>
    <xdr:clientData/>
  </xdr:twoCellAnchor>
  <xdr:twoCellAnchor>
    <xdr:from>
      <xdr:col>9</xdr:col>
      <xdr:colOff>323850</xdr:colOff>
      <xdr:row>7</xdr:row>
      <xdr:rowOff>28575</xdr:rowOff>
    </xdr:from>
    <xdr:to>
      <xdr:col>15</xdr:col>
      <xdr:colOff>323850</xdr:colOff>
      <xdr:row>20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064C6F-A412-5E1D-55C6-DE686BDDB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95250</xdr:rowOff>
    </xdr:from>
    <xdr:to>
      <xdr:col>10</xdr:col>
      <xdr:colOff>505940</xdr:colOff>
      <xdr:row>13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606435-04DD-5B7D-B807-32F23805C9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5098"/>
        <a:stretch>
          <a:fillRect/>
        </a:stretch>
      </xdr:blipFill>
      <xdr:spPr>
        <a:xfrm>
          <a:off x="133350" y="95250"/>
          <a:ext cx="7992590" cy="256222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14</xdr:row>
      <xdr:rowOff>28575</xdr:rowOff>
    </xdr:from>
    <xdr:to>
      <xdr:col>9</xdr:col>
      <xdr:colOff>534412</xdr:colOff>
      <xdr:row>17</xdr:row>
      <xdr:rowOff>66760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FA48FB-4BCC-578C-47C2-1F7986775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2695575"/>
          <a:ext cx="7249537" cy="6096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66675</xdr:rowOff>
    </xdr:from>
    <xdr:to>
      <xdr:col>5</xdr:col>
      <xdr:colOff>610719</xdr:colOff>
      <xdr:row>4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B793C6-1FDC-B773-2D4E-E43E6CE28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57175"/>
          <a:ext cx="4363569" cy="6286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4</xdr:row>
      <xdr:rowOff>133350</xdr:rowOff>
    </xdr:from>
    <xdr:to>
      <xdr:col>5</xdr:col>
      <xdr:colOff>114301</xdr:colOff>
      <xdr:row>14</xdr:row>
      <xdr:rowOff>58946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DCD3FD-7D47-6163-0BCE-F5520FD76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1" y="895350"/>
          <a:ext cx="3848100" cy="183059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17</xdr:row>
      <xdr:rowOff>76200</xdr:rowOff>
    </xdr:from>
    <xdr:to>
      <xdr:col>4</xdr:col>
      <xdr:colOff>485775</xdr:colOff>
      <xdr:row>32</xdr:row>
      <xdr:rowOff>90260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ACA021-9961-B118-B33B-980DC4276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3314700"/>
          <a:ext cx="3467100" cy="2871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28576</xdr:rowOff>
    </xdr:from>
    <xdr:to>
      <xdr:col>6</xdr:col>
      <xdr:colOff>447675</xdr:colOff>
      <xdr:row>51</xdr:row>
      <xdr:rowOff>107776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5491832-E4DA-DD14-2BA5-27E3C7F14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696076"/>
          <a:ext cx="5019675" cy="31272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54</xdr:row>
      <xdr:rowOff>95251</xdr:rowOff>
    </xdr:from>
    <xdr:to>
      <xdr:col>5</xdr:col>
      <xdr:colOff>85725</xdr:colOff>
      <xdr:row>65</xdr:row>
      <xdr:rowOff>71787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9F5DE0D-525D-A540-21E7-3AA499741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" y="10382251"/>
          <a:ext cx="3829050" cy="2072036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57</xdr:row>
      <xdr:rowOff>85725</xdr:rowOff>
    </xdr:from>
    <xdr:to>
      <xdr:col>11</xdr:col>
      <xdr:colOff>534063</xdr:colOff>
      <xdr:row>61</xdr:row>
      <xdr:rowOff>162042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72552EB-30E5-D5C3-23D9-F27C29F8F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62425" y="10944225"/>
          <a:ext cx="4753638" cy="838317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68</xdr:row>
      <xdr:rowOff>19050</xdr:rowOff>
    </xdr:from>
    <xdr:to>
      <xdr:col>6</xdr:col>
      <xdr:colOff>264795</xdr:colOff>
      <xdr:row>82</xdr:row>
      <xdr:rowOff>9525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5598B25-40DC-B2E5-5267-F990C59F5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50" y="12973050"/>
          <a:ext cx="4665345" cy="26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90D2-5E25-4884-8AA8-CBC3DA8BC9E5}">
  <dimension ref="A10:M63"/>
  <sheetViews>
    <sheetView topLeftCell="A29" zoomScaleNormal="100" workbookViewId="0">
      <selection activeCell="E16" sqref="E16"/>
    </sheetView>
  </sheetViews>
  <sheetFormatPr baseColWidth="10" defaultRowHeight="15" x14ac:dyDescent="0.25"/>
  <cols>
    <col min="8" max="8" width="7.42578125" customWidth="1"/>
  </cols>
  <sheetData>
    <row r="10" spans="1:7" x14ac:dyDescent="0.25">
      <c r="A10" t="s">
        <v>8</v>
      </c>
    </row>
    <row r="11" spans="1:7" x14ac:dyDescent="0.25">
      <c r="A11" s="3"/>
      <c r="B11" s="3" t="s">
        <v>7</v>
      </c>
      <c r="C11" s="4" t="s">
        <v>8</v>
      </c>
      <c r="D11" t="s">
        <v>10</v>
      </c>
      <c r="F11">
        <f>(B17*D15)+(B16*D16)+(B15*D17)</f>
        <v>15</v>
      </c>
      <c r="G11" t="s">
        <v>13</v>
      </c>
    </row>
    <row r="12" spans="1:7" x14ac:dyDescent="0.25">
      <c r="A12" s="3" t="s">
        <v>1</v>
      </c>
      <c r="B12" s="3">
        <v>12</v>
      </c>
    </row>
    <row r="13" spans="1:7" x14ac:dyDescent="0.25">
      <c r="A13" s="3" t="s">
        <v>2</v>
      </c>
      <c r="B13" s="3">
        <v>11</v>
      </c>
      <c r="D13" t="s">
        <v>11</v>
      </c>
    </row>
    <row r="14" spans="1:7" x14ac:dyDescent="0.25">
      <c r="A14" s="3" t="s">
        <v>3</v>
      </c>
      <c r="B14" s="3">
        <v>15</v>
      </c>
    </row>
    <row r="15" spans="1:7" x14ac:dyDescent="0.25">
      <c r="A15" s="3" t="s">
        <v>4</v>
      </c>
      <c r="B15" s="3">
        <v>12</v>
      </c>
      <c r="D15">
        <v>0.6</v>
      </c>
    </row>
    <row r="16" spans="1:7" x14ac:dyDescent="0.25">
      <c r="A16" s="3" t="s">
        <v>5</v>
      </c>
      <c r="B16" s="3">
        <v>16</v>
      </c>
      <c r="D16">
        <v>0.3</v>
      </c>
    </row>
    <row r="17" spans="1:6" x14ac:dyDescent="0.25">
      <c r="A17" s="3" t="s">
        <v>6</v>
      </c>
      <c r="B17" s="3">
        <v>15</v>
      </c>
      <c r="D17">
        <v>0.1</v>
      </c>
    </row>
    <row r="20" spans="1:6" x14ac:dyDescent="0.25">
      <c r="B20" s="1" t="s">
        <v>0</v>
      </c>
    </row>
    <row r="22" spans="1:6" x14ac:dyDescent="0.25">
      <c r="A22" t="s">
        <v>14</v>
      </c>
    </row>
    <row r="23" spans="1:6" x14ac:dyDescent="0.25">
      <c r="B23" t="s">
        <v>16</v>
      </c>
    </row>
    <row r="25" spans="1:6" ht="30" x14ac:dyDescent="0.25">
      <c r="A25" s="5" t="s">
        <v>17</v>
      </c>
      <c r="B25" s="2">
        <f>COUNT(B15:B17)</f>
        <v>3</v>
      </c>
      <c r="D25">
        <f>AVERAGE(B15:B17)</f>
        <v>14.333333333333334</v>
      </c>
    </row>
    <row r="27" spans="1:6" x14ac:dyDescent="0.25">
      <c r="A27" t="s">
        <v>18</v>
      </c>
    </row>
    <row r="29" spans="1:6" ht="30" x14ac:dyDescent="0.25">
      <c r="A29" s="6" t="s">
        <v>19</v>
      </c>
      <c r="C29" t="s">
        <v>22</v>
      </c>
      <c r="F29" s="7">
        <f>A30+A33*(B17-A30)</f>
        <v>13.4</v>
      </c>
    </row>
    <row r="30" spans="1:6" x14ac:dyDescent="0.25">
      <c r="A30" s="2">
        <v>13</v>
      </c>
      <c r="F30" s="7">
        <f>A33*B17+(1-A33)*A30</f>
        <v>13.4</v>
      </c>
    </row>
    <row r="31" spans="1:6" x14ac:dyDescent="0.25">
      <c r="A31" s="2"/>
    </row>
    <row r="32" spans="1:6" x14ac:dyDescent="0.25">
      <c r="A32" s="2" t="s">
        <v>20</v>
      </c>
    </row>
    <row r="33" spans="1:13" x14ac:dyDescent="0.25">
      <c r="A33" s="2">
        <v>0.2</v>
      </c>
    </row>
    <row r="35" spans="1:13" x14ac:dyDescent="0.25">
      <c r="A35" t="s">
        <v>23</v>
      </c>
    </row>
    <row r="37" spans="1:13" x14ac:dyDescent="0.25">
      <c r="A37" t="s">
        <v>25</v>
      </c>
    </row>
    <row r="38" spans="1:13" x14ac:dyDescent="0.25">
      <c r="L38" s="3"/>
      <c r="M38" s="3" t="s">
        <v>7</v>
      </c>
    </row>
    <row r="39" spans="1:13" x14ac:dyDescent="0.25">
      <c r="A39" t="s">
        <v>27</v>
      </c>
      <c r="K39">
        <v>1</v>
      </c>
      <c r="L39" s="3" t="s">
        <v>1</v>
      </c>
      <c r="M39" s="3">
        <v>12</v>
      </c>
    </row>
    <row r="40" spans="1:13" x14ac:dyDescent="0.25">
      <c r="A40" t="s">
        <v>28</v>
      </c>
      <c r="B40">
        <v>6</v>
      </c>
      <c r="K40">
        <v>2</v>
      </c>
      <c r="L40" s="3" t="s">
        <v>2</v>
      </c>
      <c r="M40" s="3">
        <v>11</v>
      </c>
    </row>
    <row r="41" spans="1:13" x14ac:dyDescent="0.25">
      <c r="A41" t="s">
        <v>29</v>
      </c>
      <c r="B41">
        <f>SUM(K39:K44)</f>
        <v>21</v>
      </c>
      <c r="C41">
        <f>POWER(B41,2)</f>
        <v>441</v>
      </c>
      <c r="K41">
        <v>3</v>
      </c>
      <c r="L41" s="3" t="s">
        <v>3</v>
      </c>
      <c r="M41" s="3">
        <v>15</v>
      </c>
    </row>
    <row r="42" spans="1:13" x14ac:dyDescent="0.25">
      <c r="A42" t="s">
        <v>30</v>
      </c>
      <c r="B42">
        <f>SUM(B12:B17)</f>
        <v>81</v>
      </c>
      <c r="K42">
        <v>4</v>
      </c>
      <c r="L42" s="3" t="s">
        <v>4</v>
      </c>
      <c r="M42" s="3">
        <v>12</v>
      </c>
    </row>
    <row r="43" spans="1:13" x14ac:dyDescent="0.25">
      <c r="E43" t="s">
        <v>26</v>
      </c>
      <c r="G43">
        <f>(B40*A60)-(B41*B42)</f>
        <v>81</v>
      </c>
      <c r="H43" s="7">
        <f>G43/G44</f>
        <v>0.77142857142857146</v>
      </c>
      <c r="K43">
        <v>5</v>
      </c>
      <c r="L43" s="3" t="s">
        <v>5</v>
      </c>
      <c r="M43" s="3">
        <v>16</v>
      </c>
    </row>
    <row r="44" spans="1:13" x14ac:dyDescent="0.25">
      <c r="A44" t="s">
        <v>31</v>
      </c>
      <c r="G44">
        <f>(B40*A51)-(C41)</f>
        <v>105</v>
      </c>
      <c r="K44">
        <v>6</v>
      </c>
      <c r="L44" s="3" t="s">
        <v>6</v>
      </c>
      <c r="M44" s="3">
        <v>15</v>
      </c>
    </row>
    <row r="45" spans="1:13" x14ac:dyDescent="0.25">
      <c r="A45">
        <f>POWER(K39,2)</f>
        <v>1</v>
      </c>
      <c r="K45">
        <v>7</v>
      </c>
      <c r="L45" s="9" t="s">
        <v>12</v>
      </c>
    </row>
    <row r="46" spans="1:13" x14ac:dyDescent="0.25">
      <c r="A46">
        <f t="shared" ref="A46:A50" si="0">POWER(K40,2)</f>
        <v>4</v>
      </c>
      <c r="E46" t="s">
        <v>33</v>
      </c>
      <c r="H46">
        <f>F47-(H43*F48)</f>
        <v>10.8</v>
      </c>
    </row>
    <row r="47" spans="1:13" x14ac:dyDescent="0.25">
      <c r="A47">
        <f t="shared" si="0"/>
        <v>9</v>
      </c>
      <c r="E47" t="s">
        <v>34</v>
      </c>
      <c r="F47">
        <f>AVERAGE(M39:M44)</f>
        <v>13.5</v>
      </c>
    </row>
    <row r="48" spans="1:13" x14ac:dyDescent="0.25">
      <c r="A48">
        <f t="shared" si="0"/>
        <v>16</v>
      </c>
      <c r="E48" t="s">
        <v>35</v>
      </c>
      <c r="F48">
        <f>AVERAGE(K39:K44)</f>
        <v>3.5</v>
      </c>
    </row>
    <row r="49" spans="1:8" x14ac:dyDescent="0.25">
      <c r="A49">
        <f t="shared" si="0"/>
        <v>25</v>
      </c>
    </row>
    <row r="50" spans="1:8" x14ac:dyDescent="0.25">
      <c r="A50">
        <f t="shared" si="0"/>
        <v>36</v>
      </c>
    </row>
    <row r="51" spans="1:8" x14ac:dyDescent="0.25">
      <c r="A51">
        <f>SUM(A45:A50)</f>
        <v>91</v>
      </c>
      <c r="D51" t="s">
        <v>36</v>
      </c>
    </row>
    <row r="53" spans="1:8" x14ac:dyDescent="0.25">
      <c r="A53" t="s">
        <v>32</v>
      </c>
      <c r="D53" s="2" t="s">
        <v>37</v>
      </c>
      <c r="E53" s="2">
        <f>H46</f>
        <v>10.8</v>
      </c>
      <c r="F53" s="2" t="s">
        <v>38</v>
      </c>
      <c r="G53" s="8">
        <f>H43</f>
        <v>0.77142857142857146</v>
      </c>
      <c r="H53" s="2" t="s">
        <v>29</v>
      </c>
    </row>
    <row r="54" spans="1:8" x14ac:dyDescent="0.25">
      <c r="A54">
        <f>K39*M39</f>
        <v>12</v>
      </c>
    </row>
    <row r="55" spans="1:8" x14ac:dyDescent="0.25">
      <c r="A55">
        <f t="shared" ref="A55:A59" si="1">K40*M40</f>
        <v>22</v>
      </c>
    </row>
    <row r="56" spans="1:8" x14ac:dyDescent="0.25">
      <c r="A56">
        <f t="shared" si="1"/>
        <v>45</v>
      </c>
      <c r="F56" s="7"/>
    </row>
    <row r="57" spans="1:8" x14ac:dyDescent="0.25">
      <c r="A57">
        <f t="shared" si="1"/>
        <v>48</v>
      </c>
    </row>
    <row r="58" spans="1:8" x14ac:dyDescent="0.25">
      <c r="A58">
        <f t="shared" si="1"/>
        <v>80</v>
      </c>
    </row>
    <row r="59" spans="1:8" x14ac:dyDescent="0.25">
      <c r="A59">
        <f t="shared" si="1"/>
        <v>90</v>
      </c>
    </row>
    <row r="60" spans="1:8" x14ac:dyDescent="0.25">
      <c r="A60">
        <f>SUM(A54:A59)</f>
        <v>297</v>
      </c>
    </row>
    <row r="62" spans="1:8" x14ac:dyDescent="0.25">
      <c r="A62" t="s">
        <v>39</v>
      </c>
    </row>
    <row r="63" spans="1:8" x14ac:dyDescent="0.25">
      <c r="B63" t="s">
        <v>40</v>
      </c>
      <c r="D63" s="10">
        <f>E53+(G53*K45)</f>
        <v>16.200000000000003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2A0C-CFCA-4326-9FA0-E5BC0F8BC4EB}">
  <dimension ref="A15:I24"/>
  <sheetViews>
    <sheetView workbookViewId="0">
      <selection activeCell="G29" sqref="G29"/>
    </sheetView>
  </sheetViews>
  <sheetFormatPr baseColWidth="10" defaultRowHeight="15" x14ac:dyDescent="0.25"/>
  <sheetData>
    <row r="15" spans="2:9" x14ac:dyDescent="0.25">
      <c r="D15" t="s">
        <v>8</v>
      </c>
      <c r="E15" t="s">
        <v>14</v>
      </c>
    </row>
    <row r="16" spans="2:9" x14ac:dyDescent="0.25">
      <c r="B16" s="3"/>
      <c r="C16" s="3" t="s">
        <v>43</v>
      </c>
      <c r="D16" s="3" t="s">
        <v>44</v>
      </c>
      <c r="E16" s="3" t="s">
        <v>45</v>
      </c>
      <c r="G16" s="2" t="s">
        <v>20</v>
      </c>
      <c r="H16" s="11" t="s">
        <v>28</v>
      </c>
      <c r="I16" s="11"/>
    </row>
    <row r="17" spans="1:8" x14ac:dyDescent="0.25">
      <c r="A17">
        <v>1</v>
      </c>
      <c r="B17" s="3" t="s">
        <v>41</v>
      </c>
      <c r="C17" s="3">
        <v>100</v>
      </c>
      <c r="D17" s="3">
        <v>80</v>
      </c>
      <c r="E17" s="3"/>
      <c r="G17" s="2">
        <v>0.2</v>
      </c>
    </row>
    <row r="18" spans="1:8" x14ac:dyDescent="0.25">
      <c r="A18">
        <v>2</v>
      </c>
      <c r="B18" s="3" t="s">
        <v>2</v>
      </c>
      <c r="C18" s="3">
        <v>94</v>
      </c>
      <c r="D18" s="3">
        <f>$G$17*C17+(1-$G$17)*D17</f>
        <v>84</v>
      </c>
      <c r="E18" s="3">
        <f>ABS(C18-D18)</f>
        <v>10</v>
      </c>
      <c r="H18">
        <f>COUNT(D18:D22)</f>
        <v>5</v>
      </c>
    </row>
    <row r="19" spans="1:8" x14ac:dyDescent="0.25">
      <c r="A19">
        <v>3</v>
      </c>
      <c r="B19" s="3" t="s">
        <v>42</v>
      </c>
      <c r="C19" s="3">
        <v>106</v>
      </c>
      <c r="D19" s="3">
        <f t="shared" ref="D19:D22" si="0">$G$17*C18+(1-$G$17)*D18</f>
        <v>86</v>
      </c>
      <c r="E19" s="3">
        <f t="shared" ref="E19:E22" si="1">ABS(C19-D19)</f>
        <v>20</v>
      </c>
    </row>
    <row r="20" spans="1:8" x14ac:dyDescent="0.25">
      <c r="A20">
        <v>4</v>
      </c>
      <c r="B20" s="3" t="s">
        <v>4</v>
      </c>
      <c r="C20" s="3">
        <v>80</v>
      </c>
      <c r="D20" s="3">
        <f t="shared" si="0"/>
        <v>90</v>
      </c>
      <c r="E20" s="3">
        <f t="shared" si="1"/>
        <v>10</v>
      </c>
    </row>
    <row r="21" spans="1:8" x14ac:dyDescent="0.25">
      <c r="A21">
        <v>5</v>
      </c>
      <c r="B21" s="3" t="s">
        <v>5</v>
      </c>
      <c r="C21" s="3">
        <v>68</v>
      </c>
      <c r="D21" s="3">
        <f t="shared" si="0"/>
        <v>88</v>
      </c>
      <c r="E21" s="3">
        <f t="shared" si="1"/>
        <v>20</v>
      </c>
    </row>
    <row r="22" spans="1:8" x14ac:dyDescent="0.25">
      <c r="A22">
        <v>6</v>
      </c>
      <c r="B22" s="3" t="s">
        <v>6</v>
      </c>
      <c r="C22" s="3">
        <v>94</v>
      </c>
      <c r="D22" s="3">
        <f t="shared" si="0"/>
        <v>84</v>
      </c>
      <c r="E22" s="3">
        <f t="shared" si="1"/>
        <v>10</v>
      </c>
      <c r="F22">
        <f>SUM(E18:E22)</f>
        <v>70</v>
      </c>
    </row>
    <row r="23" spans="1:8" x14ac:dyDescent="0.25">
      <c r="E23" s="12">
        <f>F22/H18</f>
        <v>14</v>
      </c>
    </row>
    <row r="24" spans="1:8" x14ac:dyDescent="0.25">
      <c r="E24" s="9">
        <f>AVERAGE(E18:E22)</f>
        <v>14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CCDC-C131-44E3-983E-EE44100A7471}">
  <dimension ref="A16:I20"/>
  <sheetViews>
    <sheetView workbookViewId="0">
      <selection activeCell="J19" sqref="J19"/>
    </sheetView>
  </sheetViews>
  <sheetFormatPr baseColWidth="10" defaultRowHeight="15" x14ac:dyDescent="0.25"/>
  <sheetData>
    <row r="16" spans="1:9" x14ac:dyDescent="0.25">
      <c r="A16" s="3">
        <v>2005</v>
      </c>
      <c r="B16" s="3"/>
      <c r="C16" s="3">
        <v>2006</v>
      </c>
      <c r="D16" s="3"/>
      <c r="E16" s="3">
        <v>2007</v>
      </c>
      <c r="F16" s="3"/>
      <c r="H16" s="3">
        <v>2008</v>
      </c>
      <c r="I16" s="3"/>
    </row>
    <row r="17" spans="1:9" x14ac:dyDescent="0.25">
      <c r="A17" s="3">
        <v>1</v>
      </c>
      <c r="B17" s="14">
        <v>4800</v>
      </c>
      <c r="C17" s="3">
        <v>1</v>
      </c>
      <c r="D17" s="14">
        <v>3500</v>
      </c>
      <c r="E17" s="3">
        <v>1</v>
      </c>
      <c r="F17" s="14">
        <v>3200</v>
      </c>
      <c r="H17" s="3">
        <v>1</v>
      </c>
      <c r="I17" s="14">
        <f>AVERAGE(B17,D17,F17)</f>
        <v>3833.3333333333335</v>
      </c>
    </row>
    <row r="18" spans="1:9" x14ac:dyDescent="0.25">
      <c r="A18" s="3">
        <v>2</v>
      </c>
      <c r="B18" s="14">
        <v>3500</v>
      </c>
      <c r="C18" s="3">
        <v>2</v>
      </c>
      <c r="D18" s="14">
        <v>2700</v>
      </c>
      <c r="E18" s="3">
        <v>2</v>
      </c>
      <c r="F18" s="14">
        <v>2100</v>
      </c>
      <c r="H18" s="3">
        <v>2</v>
      </c>
      <c r="I18" s="14">
        <f>AVERAGE(B18,D18,F18)</f>
        <v>2766.6666666666665</v>
      </c>
    </row>
    <row r="19" spans="1:9" x14ac:dyDescent="0.25">
      <c r="A19" s="3">
        <v>3</v>
      </c>
      <c r="B19" s="14">
        <v>4300</v>
      </c>
      <c r="C19" s="3">
        <v>3</v>
      </c>
      <c r="D19" s="14">
        <v>3500</v>
      </c>
      <c r="E19" s="3">
        <v>3</v>
      </c>
      <c r="F19" s="14">
        <v>2700</v>
      </c>
      <c r="H19" s="3">
        <v>3</v>
      </c>
      <c r="I19" s="14">
        <f t="shared" ref="I19:I20" si="0">AVERAGE(B19,D19,F19)</f>
        <v>3500</v>
      </c>
    </row>
    <row r="20" spans="1:9" x14ac:dyDescent="0.25">
      <c r="A20" s="3">
        <v>4</v>
      </c>
      <c r="B20" s="14">
        <v>3000</v>
      </c>
      <c r="C20" s="3">
        <v>4</v>
      </c>
      <c r="D20" s="14">
        <v>2400</v>
      </c>
      <c r="E20" s="3">
        <v>4</v>
      </c>
      <c r="F20" s="14">
        <v>1700</v>
      </c>
      <c r="H20" s="3">
        <v>4</v>
      </c>
      <c r="I20" s="14">
        <f t="shared" si="0"/>
        <v>2366.6666666666665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94D3-CDE9-4414-B667-D76E0F184403}">
  <dimension ref="A19:K65"/>
  <sheetViews>
    <sheetView topLeftCell="A28" workbookViewId="0">
      <selection activeCell="M45" sqref="M45"/>
    </sheetView>
  </sheetViews>
  <sheetFormatPr baseColWidth="10" defaultRowHeight="15" x14ac:dyDescent="0.25"/>
  <cols>
    <col min="1" max="1" width="20" bestFit="1" customWidth="1"/>
    <col min="4" max="4" width="20" bestFit="1" customWidth="1"/>
    <col min="5" max="5" width="13.140625" customWidth="1"/>
  </cols>
  <sheetData>
    <row r="19" spans="1:5" ht="60" x14ac:dyDescent="0.25">
      <c r="A19" s="2" t="s">
        <v>46</v>
      </c>
      <c r="B19" s="6" t="s">
        <v>53</v>
      </c>
      <c r="D19" s="2" t="s">
        <v>46</v>
      </c>
      <c r="E19" s="6" t="s">
        <v>54</v>
      </c>
    </row>
    <row r="20" spans="1:5" x14ac:dyDescent="0.25">
      <c r="A20" t="s">
        <v>47</v>
      </c>
      <c r="B20" s="13">
        <v>109</v>
      </c>
      <c r="D20" t="s">
        <v>47</v>
      </c>
      <c r="E20" s="13">
        <v>115</v>
      </c>
    </row>
    <row r="21" spans="1:5" x14ac:dyDescent="0.25">
      <c r="A21" t="s">
        <v>48</v>
      </c>
      <c r="B21" s="13">
        <v>104</v>
      </c>
      <c r="D21" t="s">
        <v>48</v>
      </c>
      <c r="E21" s="13">
        <v>112</v>
      </c>
    </row>
    <row r="22" spans="1:5" x14ac:dyDescent="0.25">
      <c r="A22" t="s">
        <v>49</v>
      </c>
      <c r="B22" s="13">
        <v>150</v>
      </c>
      <c r="D22" t="s">
        <v>49</v>
      </c>
      <c r="E22" s="13">
        <v>159</v>
      </c>
    </row>
    <row r="23" spans="1:5" x14ac:dyDescent="0.25">
      <c r="A23" t="s">
        <v>50</v>
      </c>
      <c r="B23" s="13">
        <v>170</v>
      </c>
      <c r="D23" t="s">
        <v>50</v>
      </c>
      <c r="E23" s="13">
        <v>182</v>
      </c>
    </row>
    <row r="24" spans="1:5" x14ac:dyDescent="0.25">
      <c r="A24" t="s">
        <v>51</v>
      </c>
      <c r="B24" s="13">
        <v>120</v>
      </c>
      <c r="D24" t="s">
        <v>51</v>
      </c>
      <c r="E24" s="13">
        <v>126</v>
      </c>
    </row>
    <row r="25" spans="1:5" x14ac:dyDescent="0.25">
      <c r="A25" t="s">
        <v>52</v>
      </c>
      <c r="B25" s="13">
        <v>100</v>
      </c>
      <c r="D25" t="s">
        <v>52</v>
      </c>
      <c r="E25" s="13">
        <v>106</v>
      </c>
    </row>
    <row r="29" spans="1:5" x14ac:dyDescent="0.25">
      <c r="A29" t="s">
        <v>14</v>
      </c>
    </row>
    <row r="31" spans="1:5" x14ac:dyDescent="0.25">
      <c r="A31" t="s">
        <v>55</v>
      </c>
    </row>
    <row r="32" spans="1:5" x14ac:dyDescent="0.25">
      <c r="B32" t="s">
        <v>27</v>
      </c>
    </row>
    <row r="33" spans="2:11" x14ac:dyDescent="0.25">
      <c r="B33" t="s">
        <v>28</v>
      </c>
      <c r="C33">
        <v>12</v>
      </c>
    </row>
    <row r="34" spans="2:11" x14ac:dyDescent="0.25">
      <c r="B34" t="s">
        <v>29</v>
      </c>
      <c r="C34">
        <f>SUM(I39:I50)</f>
        <v>78</v>
      </c>
      <c r="D34">
        <f>POWER(C34,2)</f>
        <v>6084</v>
      </c>
    </row>
    <row r="35" spans="2:11" x14ac:dyDescent="0.25">
      <c r="B35" t="s">
        <v>30</v>
      </c>
      <c r="C35" s="13">
        <f>SUM(B20:B25,E20:E25)</f>
        <v>1553</v>
      </c>
    </row>
    <row r="37" spans="2:11" x14ac:dyDescent="0.25">
      <c r="B37" t="s">
        <v>31</v>
      </c>
      <c r="D37" t="s">
        <v>26</v>
      </c>
      <c r="E37">
        <f>(C33*B65)-(C34*C35)</f>
        <v>1950</v>
      </c>
      <c r="F37">
        <f>E37/E38</f>
        <v>1.1363636363636365</v>
      </c>
    </row>
    <row r="38" spans="2:11" x14ac:dyDescent="0.25">
      <c r="B38">
        <f>POWER(I39,2)</f>
        <v>1</v>
      </c>
      <c r="E38">
        <f>(C33*B50)-D34</f>
        <v>1716</v>
      </c>
      <c r="I38" t="s">
        <v>56</v>
      </c>
    </row>
    <row r="39" spans="2:11" x14ac:dyDescent="0.25">
      <c r="B39">
        <f t="shared" ref="B39:B49" si="0">POWER(I40,2)</f>
        <v>4</v>
      </c>
      <c r="I39">
        <v>1</v>
      </c>
      <c r="K39" s="16">
        <f>$E$47+($G$47*I39)</f>
        <v>123.16666666666666</v>
      </c>
    </row>
    <row r="40" spans="2:11" x14ac:dyDescent="0.25">
      <c r="B40">
        <f t="shared" si="0"/>
        <v>9</v>
      </c>
      <c r="D40" t="s">
        <v>33</v>
      </c>
      <c r="G40">
        <f>E42-(F37*E41)</f>
        <v>122.03030303030302</v>
      </c>
      <c r="I40">
        <v>2</v>
      </c>
      <c r="K40" s="16">
        <f t="shared" ref="K40:K50" si="1">$E$47+($G$47*I40)</f>
        <v>124.30303030303028</v>
      </c>
    </row>
    <row r="41" spans="2:11" x14ac:dyDescent="0.25">
      <c r="B41">
        <f t="shared" si="0"/>
        <v>16</v>
      </c>
      <c r="D41" t="s">
        <v>35</v>
      </c>
      <c r="E41">
        <f>AVERAGE(I39:I50)</f>
        <v>6.5</v>
      </c>
      <c r="I41">
        <v>3</v>
      </c>
      <c r="K41" s="16">
        <f t="shared" si="1"/>
        <v>125.43939393939392</v>
      </c>
    </row>
    <row r="42" spans="2:11" x14ac:dyDescent="0.25">
      <c r="B42">
        <f t="shared" si="0"/>
        <v>25</v>
      </c>
      <c r="D42" t="s">
        <v>34</v>
      </c>
      <c r="E42" s="13">
        <f>AVERAGE(B20:B25,E20:E25)</f>
        <v>129.41666666666666</v>
      </c>
      <c r="I42">
        <v>4</v>
      </c>
      <c r="K42" s="16">
        <f t="shared" si="1"/>
        <v>126.57575757575756</v>
      </c>
    </row>
    <row r="43" spans="2:11" x14ac:dyDescent="0.25">
      <c r="B43">
        <f t="shared" si="0"/>
        <v>36</v>
      </c>
      <c r="I43">
        <v>5</v>
      </c>
      <c r="K43" s="16">
        <f t="shared" si="1"/>
        <v>127.7121212121212</v>
      </c>
    </row>
    <row r="44" spans="2:11" x14ac:dyDescent="0.25">
      <c r="B44">
        <f t="shared" si="0"/>
        <v>49</v>
      </c>
      <c r="I44">
        <v>6</v>
      </c>
      <c r="K44" s="16">
        <f t="shared" si="1"/>
        <v>128.84848484848484</v>
      </c>
    </row>
    <row r="45" spans="2:11" x14ac:dyDescent="0.25">
      <c r="B45">
        <f t="shared" si="0"/>
        <v>64</v>
      </c>
      <c r="D45" t="s">
        <v>57</v>
      </c>
      <c r="I45">
        <v>7</v>
      </c>
      <c r="K45" s="16">
        <f t="shared" si="1"/>
        <v>129.98484848484847</v>
      </c>
    </row>
    <row r="46" spans="2:11" x14ac:dyDescent="0.25">
      <c r="B46">
        <f t="shared" si="0"/>
        <v>81</v>
      </c>
      <c r="I46">
        <v>8</v>
      </c>
      <c r="K46" s="16">
        <f t="shared" si="1"/>
        <v>131.1212121212121</v>
      </c>
    </row>
    <row r="47" spans="2:11" x14ac:dyDescent="0.25">
      <c r="B47">
        <f t="shared" si="0"/>
        <v>100</v>
      </c>
      <c r="D47" s="15" t="s">
        <v>37</v>
      </c>
      <c r="E47" s="15">
        <f>G40</f>
        <v>122.03030303030302</v>
      </c>
      <c r="F47" s="15" t="s">
        <v>38</v>
      </c>
      <c r="G47" s="15">
        <f>F37</f>
        <v>1.1363636363636365</v>
      </c>
      <c r="H47" s="15" t="s">
        <v>29</v>
      </c>
      <c r="I47">
        <v>9</v>
      </c>
      <c r="K47" s="16">
        <f t="shared" si="1"/>
        <v>132.25757575757575</v>
      </c>
    </row>
    <row r="48" spans="2:11" x14ac:dyDescent="0.25">
      <c r="B48">
        <f t="shared" si="0"/>
        <v>121</v>
      </c>
      <c r="I48">
        <v>10</v>
      </c>
      <c r="K48" s="16">
        <f t="shared" si="1"/>
        <v>133.39393939393938</v>
      </c>
    </row>
    <row r="49" spans="2:11" x14ac:dyDescent="0.25">
      <c r="B49">
        <f t="shared" si="0"/>
        <v>144</v>
      </c>
      <c r="I49">
        <v>11</v>
      </c>
      <c r="K49" s="16">
        <f t="shared" si="1"/>
        <v>134.53030303030303</v>
      </c>
    </row>
    <row r="50" spans="2:11" x14ac:dyDescent="0.25">
      <c r="B50">
        <f>SUM(B38:B49)</f>
        <v>650</v>
      </c>
      <c r="I50">
        <v>12</v>
      </c>
      <c r="K50" s="16">
        <f t="shared" si="1"/>
        <v>135.66666666666666</v>
      </c>
    </row>
    <row r="52" spans="2:11" x14ac:dyDescent="0.25">
      <c r="B52" t="s">
        <v>32</v>
      </c>
    </row>
    <row r="53" spans="2:11" x14ac:dyDescent="0.25">
      <c r="B53">
        <f>B20*I39</f>
        <v>109</v>
      </c>
    </row>
    <row r="54" spans="2:11" x14ac:dyDescent="0.25">
      <c r="B54">
        <f t="shared" ref="B54:B58" si="2">B21*I40</f>
        <v>208</v>
      </c>
    </row>
    <row r="55" spans="2:11" x14ac:dyDescent="0.25">
      <c r="B55">
        <f t="shared" si="2"/>
        <v>450</v>
      </c>
    </row>
    <row r="56" spans="2:11" x14ac:dyDescent="0.25">
      <c r="B56">
        <f t="shared" si="2"/>
        <v>680</v>
      </c>
    </row>
    <row r="57" spans="2:11" x14ac:dyDescent="0.25">
      <c r="B57">
        <f t="shared" si="2"/>
        <v>600</v>
      </c>
    </row>
    <row r="58" spans="2:11" x14ac:dyDescent="0.25">
      <c r="B58">
        <f t="shared" si="2"/>
        <v>600</v>
      </c>
    </row>
    <row r="59" spans="2:11" x14ac:dyDescent="0.25">
      <c r="B59">
        <f>E20*I45</f>
        <v>805</v>
      </c>
    </row>
    <row r="60" spans="2:11" x14ac:dyDescent="0.25">
      <c r="B60">
        <f t="shared" ref="B60:B64" si="3">E21*I46</f>
        <v>896</v>
      </c>
    </row>
    <row r="61" spans="2:11" x14ac:dyDescent="0.25">
      <c r="B61">
        <f t="shared" si="3"/>
        <v>1431</v>
      </c>
    </row>
    <row r="62" spans="2:11" x14ac:dyDescent="0.25">
      <c r="B62">
        <f t="shared" si="3"/>
        <v>1820</v>
      </c>
    </row>
    <row r="63" spans="2:11" x14ac:dyDescent="0.25">
      <c r="B63">
        <f t="shared" si="3"/>
        <v>1386</v>
      </c>
    </row>
    <row r="64" spans="2:11" x14ac:dyDescent="0.25">
      <c r="B64">
        <f t="shared" si="3"/>
        <v>1272</v>
      </c>
    </row>
    <row r="65" spans="2:2" x14ac:dyDescent="0.25">
      <c r="B65">
        <f>SUM(B53:B64)</f>
        <v>10257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D65C-60B1-4BFA-9D04-FFAEF1EDCFE1}">
  <dimension ref="A1"/>
  <sheetViews>
    <sheetView tabSelected="1" workbookViewId="0">
      <selection activeCell="L9" sqref="L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3C5B-0C5C-48E0-9E66-D828E03ED94E}">
  <dimension ref="A1:A68"/>
  <sheetViews>
    <sheetView topLeftCell="A37" workbookViewId="0">
      <selection activeCell="O59" sqref="O59"/>
    </sheetView>
  </sheetViews>
  <sheetFormatPr baseColWidth="10" defaultRowHeight="15" x14ac:dyDescent="0.25"/>
  <sheetData>
    <row r="1" spans="1:1" x14ac:dyDescent="0.25">
      <c r="A1" t="s">
        <v>9</v>
      </c>
    </row>
    <row r="17" spans="1:1" x14ac:dyDescent="0.25">
      <c r="A17" t="s">
        <v>15</v>
      </c>
    </row>
    <row r="35" spans="1:1" x14ac:dyDescent="0.25">
      <c r="A35" t="s">
        <v>21</v>
      </c>
    </row>
    <row r="54" spans="1:1" x14ac:dyDescent="0.25">
      <c r="A54" t="s">
        <v>24</v>
      </c>
    </row>
    <row r="68" spans="1:1" x14ac:dyDescent="0.25">
      <c r="A68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2025-09-03T23:34:22Z</dcterms:created>
  <dcterms:modified xsi:type="dcterms:W3CDTF">2025-09-04T02:50:10Z</dcterms:modified>
</cp:coreProperties>
</file>