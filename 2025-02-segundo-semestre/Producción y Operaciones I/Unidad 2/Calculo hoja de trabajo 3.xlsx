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ducción y Operaciones I\Unidad 2\"/>
    </mc:Choice>
  </mc:AlternateContent>
  <xr:revisionPtr revIDLastSave="0" documentId="8_{1E2AAD37-A9BC-4258-A0D3-B17FABD32FA5}" xr6:coauthVersionLast="47" xr6:coauthVersionMax="47" xr10:uidLastSave="{00000000-0000-0000-0000-000000000000}"/>
  <bookViews>
    <workbookView xWindow="-120" yWindow="-120" windowWidth="29040" windowHeight="16440" xr2:uid="{C2ADF117-67C3-47C9-A9B6-323BD99E11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1" l="1"/>
  <c r="B82" i="1"/>
  <c r="F65" i="1"/>
  <c r="B70" i="1"/>
  <c r="C68" i="1"/>
  <c r="C67" i="1"/>
  <c r="B66" i="1"/>
  <c r="B67" i="1"/>
  <c r="B68" i="1"/>
  <c r="B69" i="1"/>
  <c r="B65" i="1"/>
  <c r="C57" i="1"/>
  <c r="C58" i="1" s="1"/>
  <c r="C59" i="1" s="1"/>
  <c r="C60" i="1" s="1"/>
  <c r="C56" i="1"/>
  <c r="K34" i="1"/>
  <c r="J34" i="1"/>
  <c r="I34" i="1"/>
  <c r="H34" i="1"/>
  <c r="G34" i="1"/>
  <c r="F34" i="1"/>
  <c r="E34" i="1" s="1"/>
  <c r="F33" i="1"/>
  <c r="E33" i="1" s="1"/>
  <c r="K33" i="1"/>
  <c r="J33" i="1"/>
  <c r="I33" i="1"/>
  <c r="H33" i="1"/>
  <c r="G33" i="1"/>
  <c r="E32" i="1"/>
  <c r="E31" i="1"/>
  <c r="E30" i="1"/>
  <c r="C24" i="1"/>
  <c r="C20" i="1"/>
  <c r="B20" i="1"/>
  <c r="C13" i="1"/>
  <c r="C38" i="1" l="1"/>
  <c r="G37" i="1"/>
  <c r="C39" i="1"/>
  <c r="G38" i="1"/>
  <c r="D38" i="1" l="1"/>
  <c r="E44" i="1" s="1"/>
  <c r="D42" i="1" l="1"/>
  <c r="C44" i="1" s="1"/>
  <c r="C50" i="1" s="1"/>
</calcChain>
</file>

<file path=xl/sharedStrings.xml><?xml version="1.0" encoding="utf-8"?>
<sst xmlns="http://schemas.openxmlformats.org/spreadsheetml/2006/main" count="59" uniqueCount="45">
  <si>
    <t>Ejercicio 18</t>
  </si>
  <si>
    <t>Demanda</t>
  </si>
  <si>
    <t>Febrero</t>
  </si>
  <si>
    <t>Marzo</t>
  </si>
  <si>
    <t>Abril</t>
  </si>
  <si>
    <t>Enero</t>
  </si>
  <si>
    <t>Mayo</t>
  </si>
  <si>
    <t>Junio</t>
  </si>
  <si>
    <t>a)</t>
  </si>
  <si>
    <t>Pesos</t>
  </si>
  <si>
    <t>Julio =</t>
  </si>
  <si>
    <t>b)</t>
  </si>
  <si>
    <t>Pronóstico para julio =</t>
  </si>
  <si>
    <t>c)</t>
  </si>
  <si>
    <t>α =</t>
  </si>
  <si>
    <t>Pronóstico de junio =</t>
  </si>
  <si>
    <t>d)</t>
  </si>
  <si>
    <t>x = meses</t>
  </si>
  <si>
    <t>y = demanda</t>
  </si>
  <si>
    <t xml:space="preserve">Cálculos </t>
  </si>
  <si>
    <t>x</t>
  </si>
  <si>
    <t>n =</t>
  </si>
  <si>
    <t>∑x =</t>
  </si>
  <si>
    <t>∑y =</t>
  </si>
  <si>
    <t>∑x^2 =</t>
  </si>
  <si>
    <t>∑xy =</t>
  </si>
  <si>
    <t>pendiente</t>
  </si>
  <si>
    <t>Medias x =</t>
  </si>
  <si>
    <t>Medias y =</t>
  </si>
  <si>
    <t>intercepto</t>
  </si>
  <si>
    <t xml:space="preserve">a = </t>
  </si>
  <si>
    <t xml:space="preserve">Ecuación = </t>
  </si>
  <si>
    <t>+</t>
  </si>
  <si>
    <t>e)</t>
  </si>
  <si>
    <t xml:space="preserve">julio = x = </t>
  </si>
  <si>
    <t>Ejercicio 19</t>
  </si>
  <si>
    <t>Real</t>
  </si>
  <si>
    <t xml:space="preserve">Pronóstico </t>
  </si>
  <si>
    <t>Errores</t>
  </si>
  <si>
    <t>Total Errores</t>
  </si>
  <si>
    <t>DAM =</t>
  </si>
  <si>
    <t xml:space="preserve">No. Errores = </t>
  </si>
  <si>
    <t>Ejercicio 20</t>
  </si>
  <si>
    <t>Total</t>
  </si>
  <si>
    <t>Media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</si>
</sst>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center"/>
    </xf>
    <xf numFmtId="0" fontId="0" fillId="2" borderId="0" xfId="0" applyFill="1"/>
    <xf numFmtId="0" fontId="0" fillId="0" borderId="2" xfId="0" applyBorder="1" applyAlignment="1">
      <alignment horizontal="center" vertical="center"/>
    </xf>
    <xf numFmtId="0" fontId="0" fillId="0" borderId="1" xfId="0" applyFill="1" applyBorder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AB076-16EC-46BB-B13A-4ABFF4C860AD}">
  <dimension ref="A1:K84"/>
  <sheetViews>
    <sheetView tabSelected="1" topLeftCell="A58" workbookViewId="0">
      <selection activeCell="G77" sqref="G77"/>
    </sheetView>
  </sheetViews>
  <sheetFormatPr baseColWidth="10" defaultRowHeight="15" x14ac:dyDescent="0.25"/>
  <cols>
    <col min="1" max="1" width="11.42578125" style="6"/>
  </cols>
  <sheetData>
    <row r="1" spans="1:3" x14ac:dyDescent="0.25">
      <c r="A1" s="18" t="s">
        <v>0</v>
      </c>
    </row>
    <row r="3" spans="1:3" x14ac:dyDescent="0.25">
      <c r="A3" s="2"/>
      <c r="B3" s="2" t="s">
        <v>1</v>
      </c>
    </row>
    <row r="4" spans="1:3" x14ac:dyDescent="0.25">
      <c r="A4" s="2" t="s">
        <v>5</v>
      </c>
      <c r="B4" s="2">
        <v>12</v>
      </c>
    </row>
    <row r="5" spans="1:3" x14ac:dyDescent="0.25">
      <c r="A5" s="2" t="s">
        <v>2</v>
      </c>
      <c r="B5" s="2">
        <v>11</v>
      </c>
    </row>
    <row r="6" spans="1:3" x14ac:dyDescent="0.25">
      <c r="A6" s="2" t="s">
        <v>3</v>
      </c>
      <c r="B6" s="2">
        <v>15</v>
      </c>
    </row>
    <row r="7" spans="1:3" x14ac:dyDescent="0.25">
      <c r="A7" s="2" t="s">
        <v>4</v>
      </c>
      <c r="B7" s="2">
        <v>12</v>
      </c>
    </row>
    <row r="8" spans="1:3" x14ac:dyDescent="0.25">
      <c r="A8" s="2" t="s">
        <v>6</v>
      </c>
      <c r="B8" s="2">
        <v>16</v>
      </c>
    </row>
    <row r="9" spans="1:3" x14ac:dyDescent="0.25">
      <c r="A9" s="2" t="s">
        <v>7</v>
      </c>
      <c r="B9" s="2">
        <v>15</v>
      </c>
    </row>
    <row r="11" spans="1:3" x14ac:dyDescent="0.25">
      <c r="A11" s="3" t="s">
        <v>8</v>
      </c>
    </row>
    <row r="13" spans="1:3" x14ac:dyDescent="0.25">
      <c r="A13" s="3" t="s">
        <v>9</v>
      </c>
      <c r="B13" s="9" t="s">
        <v>10</v>
      </c>
      <c r="C13" s="10">
        <f>(A14*B9)+(A15*B8)+(A16*B7)</f>
        <v>15</v>
      </c>
    </row>
    <row r="14" spans="1:3" x14ac:dyDescent="0.25">
      <c r="A14" s="6">
        <v>0.6</v>
      </c>
    </row>
    <row r="15" spans="1:3" x14ac:dyDescent="0.25">
      <c r="A15" s="6">
        <v>0.3</v>
      </c>
    </row>
    <row r="16" spans="1:3" x14ac:dyDescent="0.25">
      <c r="A16" s="6">
        <v>0.1</v>
      </c>
    </row>
    <row r="18" spans="1:5" x14ac:dyDescent="0.25">
      <c r="A18" s="6" t="s">
        <v>11</v>
      </c>
    </row>
    <row r="20" spans="1:5" ht="30" x14ac:dyDescent="0.25">
      <c r="A20" s="7" t="s">
        <v>12</v>
      </c>
      <c r="B20" s="6">
        <f>B9+B8+B7</f>
        <v>43</v>
      </c>
      <c r="C20" s="11">
        <f>B20/3</f>
        <v>14.333333333333334</v>
      </c>
    </row>
    <row r="22" spans="1:5" x14ac:dyDescent="0.25">
      <c r="A22" s="6" t="s">
        <v>13</v>
      </c>
    </row>
    <row r="24" spans="1:5" x14ac:dyDescent="0.25">
      <c r="A24" s="6" t="s">
        <v>14</v>
      </c>
      <c r="B24" s="5">
        <v>0.2</v>
      </c>
      <c r="C24" s="12">
        <f>B25+B24*(B9-B25)</f>
        <v>13.4</v>
      </c>
    </row>
    <row r="25" spans="1:5" ht="30" x14ac:dyDescent="0.25">
      <c r="A25" s="7" t="s">
        <v>15</v>
      </c>
      <c r="B25" s="5">
        <v>13</v>
      </c>
    </row>
    <row r="27" spans="1:5" x14ac:dyDescent="0.25">
      <c r="A27" s="6" t="s">
        <v>16</v>
      </c>
    </row>
    <row r="29" spans="1:5" ht="30" x14ac:dyDescent="0.25">
      <c r="A29" s="6" t="s">
        <v>17</v>
      </c>
      <c r="B29" s="13" t="s">
        <v>18</v>
      </c>
      <c r="D29" t="s">
        <v>19</v>
      </c>
    </row>
    <row r="30" spans="1:5" x14ac:dyDescent="0.25">
      <c r="A30" s="6">
        <v>1</v>
      </c>
      <c r="D30" s="4" t="s">
        <v>21</v>
      </c>
      <c r="E30" s="5">
        <f>COUNT(A30:A35)</f>
        <v>6</v>
      </c>
    </row>
    <row r="31" spans="1:5" x14ac:dyDescent="0.25">
      <c r="A31" s="6">
        <v>2</v>
      </c>
      <c r="D31" s="4" t="s">
        <v>22</v>
      </c>
      <c r="E31" s="5">
        <f>SUM(A30:A35)</f>
        <v>21</v>
      </c>
    </row>
    <row r="32" spans="1:5" x14ac:dyDescent="0.25">
      <c r="A32" s="6">
        <v>3</v>
      </c>
      <c r="D32" s="4" t="s">
        <v>23</v>
      </c>
      <c r="E32" s="5">
        <f>SUM(B4:B9)</f>
        <v>81</v>
      </c>
    </row>
    <row r="33" spans="1:11" x14ac:dyDescent="0.25">
      <c r="A33" s="6">
        <v>4</v>
      </c>
      <c r="D33" s="4" t="s">
        <v>24</v>
      </c>
      <c r="E33" s="5">
        <f>SUM(F33:K33)</f>
        <v>91</v>
      </c>
      <c r="F33" s="6">
        <f>POWER(A30,2)</f>
        <v>1</v>
      </c>
      <c r="G33" s="6">
        <f>POWER(A31,2)</f>
        <v>4</v>
      </c>
      <c r="H33" s="6">
        <f>POWER(A32,2)</f>
        <v>9</v>
      </c>
      <c r="I33" s="6">
        <f>POWER(A33,2)</f>
        <v>16</v>
      </c>
      <c r="J33" s="6">
        <f>POWER(A34,2)</f>
        <v>25</v>
      </c>
      <c r="K33" s="6">
        <f>POWER(A35,2)</f>
        <v>36</v>
      </c>
    </row>
    <row r="34" spans="1:11" x14ac:dyDescent="0.25">
      <c r="A34" s="6">
        <v>5</v>
      </c>
      <c r="D34" s="4" t="s">
        <v>25</v>
      </c>
      <c r="E34" s="5">
        <f>SUM(F34:K34)</f>
        <v>297</v>
      </c>
      <c r="F34" s="6">
        <f>A30*B4</f>
        <v>12</v>
      </c>
      <c r="G34" s="6">
        <f>A31*B5</f>
        <v>22</v>
      </c>
      <c r="H34" s="6">
        <f>A32*B6</f>
        <v>45</v>
      </c>
      <c r="I34" s="6">
        <f>A33*B7</f>
        <v>48</v>
      </c>
      <c r="J34" s="6">
        <f>B8*A34</f>
        <v>80</v>
      </c>
      <c r="K34" s="6">
        <f>A35*B9</f>
        <v>90</v>
      </c>
    </row>
    <row r="35" spans="1:11" x14ac:dyDescent="0.25">
      <c r="A35" s="6">
        <v>6</v>
      </c>
    </row>
    <row r="37" spans="1:11" x14ac:dyDescent="0.25">
      <c r="B37" t="s">
        <v>26</v>
      </c>
      <c r="F37" t="s">
        <v>27</v>
      </c>
      <c r="G37">
        <f>E31/E30</f>
        <v>3.5</v>
      </c>
    </row>
    <row r="38" spans="1:11" x14ac:dyDescent="0.25">
      <c r="C38">
        <f>E30*(E34)-E31*(E32)</f>
        <v>81</v>
      </c>
      <c r="D38" s="14">
        <f>C38/C39</f>
        <v>0.77142857142857146</v>
      </c>
      <c r="F38" t="s">
        <v>28</v>
      </c>
      <c r="G38">
        <f>E32/E30</f>
        <v>13.5</v>
      </c>
    </row>
    <row r="39" spans="1:11" x14ac:dyDescent="0.25">
      <c r="C39">
        <f>E30*(E33)-POWER(E31,2)</f>
        <v>105</v>
      </c>
      <c r="D39" s="14"/>
    </row>
    <row r="41" spans="1:11" x14ac:dyDescent="0.25">
      <c r="B41" t="s">
        <v>29</v>
      </c>
    </row>
    <row r="42" spans="1:11" x14ac:dyDescent="0.25">
      <c r="C42" s="4" t="s">
        <v>30</v>
      </c>
      <c r="D42" s="5">
        <f>G38-D38*(G37)</f>
        <v>10.8</v>
      </c>
    </row>
    <row r="44" spans="1:11" x14ac:dyDescent="0.25">
      <c r="B44" t="s">
        <v>31</v>
      </c>
      <c r="C44" s="12">
        <f>D42</f>
        <v>10.8</v>
      </c>
      <c r="D44" s="12" t="s">
        <v>32</v>
      </c>
      <c r="E44" s="11">
        <f>D38</f>
        <v>0.77142857142857146</v>
      </c>
      <c r="F44" s="12" t="s">
        <v>20</v>
      </c>
    </row>
    <row r="46" spans="1:11" x14ac:dyDescent="0.25">
      <c r="A46" s="6" t="s">
        <v>33</v>
      </c>
    </row>
    <row r="48" spans="1:11" x14ac:dyDescent="0.25">
      <c r="A48" s="6" t="s">
        <v>8</v>
      </c>
    </row>
    <row r="49" spans="1:6" x14ac:dyDescent="0.25">
      <c r="A49" s="6" t="s">
        <v>34</v>
      </c>
      <c r="B49" s="5">
        <v>7</v>
      </c>
    </row>
    <row r="50" spans="1:6" x14ac:dyDescent="0.25">
      <c r="C50" s="15">
        <f>C44+E44*(B49)</f>
        <v>16.200000000000003</v>
      </c>
    </row>
    <row r="52" spans="1:6" x14ac:dyDescent="0.25">
      <c r="A52" s="18" t="s">
        <v>35</v>
      </c>
    </row>
    <row r="54" spans="1:6" x14ac:dyDescent="0.25">
      <c r="A54" s="2"/>
      <c r="B54" s="2" t="s">
        <v>36</v>
      </c>
      <c r="C54" s="2" t="s">
        <v>37</v>
      </c>
      <c r="E54" s="4" t="s">
        <v>14</v>
      </c>
      <c r="F54" s="5">
        <v>0.2</v>
      </c>
    </row>
    <row r="55" spans="1:6" x14ac:dyDescent="0.25">
      <c r="A55" s="2" t="s">
        <v>5</v>
      </c>
      <c r="B55" s="2">
        <v>100</v>
      </c>
      <c r="C55" s="2">
        <v>80</v>
      </c>
    </row>
    <row r="56" spans="1:6" x14ac:dyDescent="0.25">
      <c r="A56" s="2" t="s">
        <v>2</v>
      </c>
      <c r="B56" s="2">
        <v>94</v>
      </c>
      <c r="C56" s="2">
        <f>C55+$F$54*(B55-C55)</f>
        <v>84</v>
      </c>
    </row>
    <row r="57" spans="1:6" x14ac:dyDescent="0.25">
      <c r="A57" s="2" t="s">
        <v>3</v>
      </c>
      <c r="B57" s="2">
        <v>106</v>
      </c>
      <c r="C57" s="2">
        <f t="shared" ref="C57:C60" si="0">C56+$F$54*(B56-C56)</f>
        <v>86</v>
      </c>
    </row>
    <row r="58" spans="1:6" x14ac:dyDescent="0.25">
      <c r="A58" s="2" t="s">
        <v>4</v>
      </c>
      <c r="B58" s="2">
        <v>80</v>
      </c>
      <c r="C58" s="2">
        <f t="shared" si="0"/>
        <v>90</v>
      </c>
    </row>
    <row r="59" spans="1:6" x14ac:dyDescent="0.25">
      <c r="A59" s="2" t="s">
        <v>6</v>
      </c>
      <c r="B59" s="2">
        <v>68</v>
      </c>
      <c r="C59" s="2">
        <f t="shared" si="0"/>
        <v>88</v>
      </c>
    </row>
    <row r="60" spans="1:6" x14ac:dyDescent="0.25">
      <c r="A60" s="2" t="s">
        <v>7</v>
      </c>
      <c r="B60" s="2">
        <v>94</v>
      </c>
      <c r="C60" s="2">
        <f t="shared" si="0"/>
        <v>84</v>
      </c>
    </row>
    <row r="62" spans="1:6" x14ac:dyDescent="0.25">
      <c r="A62" s="6" t="s">
        <v>11</v>
      </c>
    </row>
    <row r="64" spans="1:6" x14ac:dyDescent="0.25">
      <c r="A64" s="2"/>
      <c r="B64" s="2" t="s">
        <v>38</v>
      </c>
    </row>
    <row r="65" spans="1:6" x14ac:dyDescent="0.25">
      <c r="A65" s="16" t="s">
        <v>2</v>
      </c>
      <c r="B65" s="1">
        <f>B56-C56</f>
        <v>10</v>
      </c>
      <c r="E65" s="4" t="s">
        <v>40</v>
      </c>
      <c r="F65" s="10">
        <f>B70/B72</f>
        <v>14</v>
      </c>
    </row>
    <row r="66" spans="1:6" x14ac:dyDescent="0.25">
      <c r="A66" s="16" t="s">
        <v>3</v>
      </c>
      <c r="B66" s="1">
        <f t="shared" ref="B66:B69" si="1">B57-C57</f>
        <v>20</v>
      </c>
    </row>
    <row r="67" spans="1:6" x14ac:dyDescent="0.25">
      <c r="A67" s="16" t="s">
        <v>4</v>
      </c>
      <c r="B67" s="1">
        <f t="shared" si="1"/>
        <v>-10</v>
      </c>
      <c r="C67">
        <f>ABS(B67)</f>
        <v>10</v>
      </c>
    </row>
    <row r="68" spans="1:6" x14ac:dyDescent="0.25">
      <c r="A68" s="16" t="s">
        <v>6</v>
      </c>
      <c r="B68" s="1">
        <f t="shared" si="1"/>
        <v>-20</v>
      </c>
      <c r="C68">
        <f>ABS(B68)</f>
        <v>20</v>
      </c>
    </row>
    <row r="69" spans="1:6" x14ac:dyDescent="0.25">
      <c r="A69" s="16" t="s">
        <v>7</v>
      </c>
      <c r="B69" s="1">
        <f t="shared" si="1"/>
        <v>10</v>
      </c>
    </row>
    <row r="70" spans="1:6" x14ac:dyDescent="0.25">
      <c r="A70" s="2" t="s">
        <v>39</v>
      </c>
      <c r="B70" s="17">
        <f>SUM(B65:B66,C67,C68,B69)</f>
        <v>70</v>
      </c>
    </row>
    <row r="72" spans="1:6" x14ac:dyDescent="0.25">
      <c r="A72" s="6" t="s">
        <v>41</v>
      </c>
      <c r="B72">
        <v>5</v>
      </c>
    </row>
    <row r="74" spans="1:6" x14ac:dyDescent="0.25">
      <c r="A74" s="18" t="s">
        <v>42</v>
      </c>
    </row>
    <row r="76" spans="1:6" x14ac:dyDescent="0.25">
      <c r="A76" s="2">
        <v>2005</v>
      </c>
      <c r="B76" s="2"/>
      <c r="C76" s="2">
        <v>2006</v>
      </c>
      <c r="D76" s="2"/>
      <c r="E76" s="2">
        <v>2007</v>
      </c>
      <c r="F76" s="2"/>
    </row>
    <row r="77" spans="1:6" x14ac:dyDescent="0.25">
      <c r="A77" s="2">
        <v>1</v>
      </c>
      <c r="B77" s="2">
        <v>4800</v>
      </c>
      <c r="C77" s="2">
        <v>1</v>
      </c>
      <c r="D77" s="2">
        <v>3500</v>
      </c>
      <c r="E77" s="2">
        <v>1</v>
      </c>
      <c r="F77" s="2">
        <v>3200</v>
      </c>
    </row>
    <row r="78" spans="1:6" x14ac:dyDescent="0.25">
      <c r="A78" s="2">
        <v>2</v>
      </c>
      <c r="B78" s="2">
        <v>3500</v>
      </c>
      <c r="C78" s="2">
        <v>2</v>
      </c>
      <c r="D78" s="2">
        <v>2700</v>
      </c>
      <c r="E78" s="2">
        <v>2</v>
      </c>
      <c r="F78" s="2">
        <v>2100</v>
      </c>
    </row>
    <row r="79" spans="1:6" x14ac:dyDescent="0.25">
      <c r="A79" s="2">
        <v>3</v>
      </c>
      <c r="B79" s="2">
        <v>4300</v>
      </c>
      <c r="C79" s="2">
        <v>3</v>
      </c>
      <c r="D79" s="2">
        <v>3500</v>
      </c>
      <c r="E79" s="2">
        <v>3</v>
      </c>
      <c r="F79" s="2">
        <v>2700</v>
      </c>
    </row>
    <row r="80" spans="1:6" x14ac:dyDescent="0.25">
      <c r="A80" s="2">
        <v>4</v>
      </c>
      <c r="B80" s="2">
        <v>3000</v>
      </c>
      <c r="C80" s="2">
        <v>4</v>
      </c>
      <c r="D80" s="2">
        <v>2400</v>
      </c>
      <c r="E80" s="2">
        <v>4</v>
      </c>
      <c r="F80" s="2">
        <v>1700</v>
      </c>
    </row>
    <row r="82" spans="1:2" x14ac:dyDescent="0.25">
      <c r="A82" s="6" t="s">
        <v>43</v>
      </c>
      <c r="B82">
        <f>SUM(B77:B80,D77:D80,F77:F80)</f>
        <v>37400</v>
      </c>
    </row>
    <row r="84" spans="1:2" ht="30" x14ac:dyDescent="0.25">
      <c r="A84" s="7" t="s">
        <v>44</v>
      </c>
      <c r="B84" s="8">
        <f>B82/12</f>
        <v>3116.6666666666665</v>
      </c>
    </row>
  </sheetData>
  <mergeCells count="1">
    <mergeCell ref="D38:D3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2025-08-30T22:36:11Z</dcterms:created>
  <dcterms:modified xsi:type="dcterms:W3CDTF">2025-08-31T00:18:13Z</dcterms:modified>
</cp:coreProperties>
</file>