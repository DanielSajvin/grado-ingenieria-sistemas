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Segundo Semestre 2025\Producción y Operaciones I\Unidad 2\"/>
    </mc:Choice>
  </mc:AlternateContent>
  <xr:revisionPtr revIDLastSave="0" documentId="8_{C72736E9-53E9-485D-A516-3B8FABA37521}" xr6:coauthVersionLast="47" xr6:coauthVersionMax="47" xr10:uidLastSave="{00000000-0000-0000-0000-000000000000}"/>
  <bookViews>
    <workbookView xWindow="-108" yWindow="-108" windowWidth="23256" windowHeight="13176" activeTab="3" xr2:uid="{A7AE0C97-96CD-49C8-A841-D6C5CA6D8164}"/>
  </bookViews>
  <sheets>
    <sheet name="Hoja1" sheetId="1" r:id="rId1"/>
    <sheet name="Hoja2" sheetId="2" r:id="rId2"/>
    <sheet name="Hoja3" sheetId="3" r:id="rId3"/>
    <sheet name="Hoj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4" l="1"/>
  <c r="D22" i="4"/>
  <c r="D23" i="4"/>
  <c r="D24" i="4"/>
  <c r="D25" i="4"/>
  <c r="D26" i="4"/>
  <c r="D27" i="4"/>
  <c r="D28" i="4"/>
  <c r="D20" i="4"/>
  <c r="B21" i="4"/>
  <c r="B22" i="4"/>
  <c r="B23" i="4"/>
  <c r="B24" i="4"/>
  <c r="B25" i="4"/>
  <c r="B26" i="4"/>
  <c r="B27" i="4"/>
  <c r="B28" i="4"/>
  <c r="B20" i="4"/>
  <c r="G14" i="3"/>
  <c r="H12" i="3"/>
  <c r="F12" i="3"/>
  <c r="H6" i="3"/>
  <c r="B15" i="3"/>
  <c r="B14" i="3"/>
  <c r="I3" i="3"/>
  <c r="H4" i="3"/>
  <c r="H3" i="3"/>
  <c r="B12" i="3"/>
  <c r="D3" i="3"/>
  <c r="D4" i="3"/>
  <c r="D5" i="3"/>
  <c r="D6" i="3"/>
  <c r="D7" i="3"/>
  <c r="D8" i="3"/>
  <c r="D9" i="3" s="1"/>
  <c r="D2" i="3"/>
  <c r="C9" i="3"/>
  <c r="E9" i="3"/>
  <c r="E3" i="3"/>
  <c r="E4" i="3"/>
  <c r="E5" i="3"/>
  <c r="E6" i="3"/>
  <c r="E7" i="3"/>
  <c r="E8" i="3"/>
  <c r="E2" i="3"/>
  <c r="A9" i="3"/>
  <c r="F12" i="2"/>
  <c r="E12" i="2"/>
  <c r="E4" i="2"/>
  <c r="E5" i="2"/>
  <c r="E6" i="2"/>
  <c r="E7" i="2"/>
  <c r="E8" i="2"/>
  <c r="E9" i="2"/>
  <c r="E10" i="2"/>
  <c r="E11" i="2"/>
  <c r="E3" i="2"/>
  <c r="D3" i="2"/>
  <c r="D4" i="2" s="1"/>
  <c r="D5" i="2" s="1"/>
  <c r="D6" i="2" s="1"/>
  <c r="D7" i="2" s="1"/>
  <c r="D8" i="2" s="1"/>
  <c r="D9" i="2" s="1"/>
  <c r="D10" i="2" l="1"/>
  <c r="D11" i="2" s="1"/>
  <c r="G5" i="2" l="1"/>
  <c r="D12" i="2"/>
  <c r="G15" i="2" s="1"/>
</calcChain>
</file>

<file path=xl/sharedStrings.xml><?xml version="1.0" encoding="utf-8"?>
<sst xmlns="http://schemas.openxmlformats.org/spreadsheetml/2006/main" count="43" uniqueCount="41">
  <si>
    <t>Enfoque</t>
  </si>
  <si>
    <t>Características</t>
  </si>
  <si>
    <t>Modelos representativos (2 c/u)</t>
  </si>
  <si>
    <t>Cualitativo</t>
  </si>
  <si>
    <t>- Basado en juicios, opiniones y experiencia de expertos.- Útil cuando no hay datos históricos suficientes o los datos son poco fiables.- Se aplica en contextos de innovación, nuevos productos o cambios de mercado.- Es subjetivo y depende de la intuición y criterio humano.</t>
  </si>
  <si>
    <r>
      <t xml:space="preserve">1. </t>
    </r>
    <r>
      <rPr>
        <b/>
        <sz val="11"/>
        <color theme="1"/>
        <rFont val="Aptos Narrow"/>
        <family val="2"/>
        <scheme val="minor"/>
      </rPr>
      <t>Método Delphi</t>
    </r>
    <r>
      <rPr>
        <sz val="11"/>
        <color theme="1"/>
        <rFont val="Aptos Narrow"/>
        <family val="2"/>
        <scheme val="minor"/>
      </rPr>
      <t xml:space="preserve"> (consulta iterativa a expertos con retroalimentación controlada).2. </t>
    </r>
    <r>
      <rPr>
        <b/>
        <sz val="11"/>
        <color theme="1"/>
        <rFont val="Aptos Narrow"/>
        <family val="2"/>
        <scheme val="minor"/>
      </rPr>
      <t>Opinión de expertos / consenso de panel</t>
    </r>
    <r>
      <rPr>
        <sz val="11"/>
        <color theme="1"/>
        <rFont val="Aptos Narrow"/>
        <family val="2"/>
        <scheme val="minor"/>
      </rPr>
      <t xml:space="preserve"> (discusión o juicio de especialistas).</t>
    </r>
  </si>
  <si>
    <t>Cuantitativo</t>
  </si>
  <si>
    <t>- Basado en datos históricos y técnicas matemáticas/estadísticas.- Asume que los patrones del pasado pueden repetirse en el futuro.- Objetivo y replicable, reduce la subjetividad.- Permite medir errores y ajustar modelos con precisión.</t>
  </si>
  <si>
    <r>
      <t xml:space="preserve">1. </t>
    </r>
    <r>
      <rPr>
        <b/>
        <sz val="11"/>
        <color theme="1"/>
        <rFont val="Aptos Narrow"/>
        <family val="2"/>
        <scheme val="minor"/>
      </rPr>
      <t>Series de tiempo</t>
    </r>
    <r>
      <rPr>
        <sz val="11"/>
        <color theme="1"/>
        <rFont val="Aptos Narrow"/>
        <family val="2"/>
        <scheme val="minor"/>
      </rPr>
      <t xml:space="preserve"> (promedios móviles, suavización exponencial, modelos ARIMA).2. </t>
    </r>
    <r>
      <rPr>
        <b/>
        <sz val="11"/>
        <color theme="1"/>
        <rFont val="Aptos Narrow"/>
        <family val="2"/>
        <scheme val="minor"/>
      </rPr>
      <t>Modelos causales</t>
    </r>
    <r>
      <rPr>
        <sz val="11"/>
        <color theme="1"/>
        <rFont val="Aptos Narrow"/>
        <family val="2"/>
        <scheme val="minor"/>
      </rPr>
      <t xml:space="preserve"> (regresión lineal, modelos econométricos que relacionan variables independientes con la demanda).</t>
    </r>
  </si>
  <si>
    <t>Mes</t>
  </si>
  <si>
    <t>Demanda Real</t>
  </si>
  <si>
    <t>Datos</t>
  </si>
  <si>
    <t>alfa =</t>
  </si>
  <si>
    <t>pronóstico inicial =</t>
  </si>
  <si>
    <t xml:space="preserve">Pronóstico para el mes 11 = </t>
  </si>
  <si>
    <t>mes =</t>
  </si>
  <si>
    <t xml:space="preserve">Pesos </t>
  </si>
  <si>
    <t>MAD</t>
  </si>
  <si>
    <t>Pronóstico</t>
  </si>
  <si>
    <t>Año</t>
  </si>
  <si>
    <t>Demanda de Energía electrica</t>
  </si>
  <si>
    <t xml:space="preserve">No. </t>
  </si>
  <si>
    <t>x*y</t>
  </si>
  <si>
    <t>x</t>
  </si>
  <si>
    <t>y</t>
  </si>
  <si>
    <t>x^2</t>
  </si>
  <si>
    <t>sum x^2 =</t>
  </si>
  <si>
    <t>Encontrando b</t>
  </si>
  <si>
    <t>Encontrando a</t>
  </si>
  <si>
    <t>media x =</t>
  </si>
  <si>
    <t>media y=</t>
  </si>
  <si>
    <t>Ecuación de la línea recta</t>
  </si>
  <si>
    <t>Y =</t>
  </si>
  <si>
    <t>+</t>
  </si>
  <si>
    <t>Previsión Año 2016 =</t>
  </si>
  <si>
    <t xml:space="preserve">Año </t>
  </si>
  <si>
    <t>Demanda</t>
  </si>
  <si>
    <t>Media movil 3 años</t>
  </si>
  <si>
    <t>Pronóstico Demanda</t>
  </si>
  <si>
    <t>Pronóstico Media Movil</t>
  </si>
  <si>
    <t>Pesos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</si>
</sst>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2" fontId="0" fillId="2" borderId="0" xfId="0" applyNumberForma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2" fontId="0" fillId="2" borderId="0" xfId="0" applyNumberFormat="1" applyFill="1" applyBorder="1" applyAlignment="1">
      <alignment horizontal="center" vertical="center"/>
    </xf>
    <xf numFmtId="2" fontId="0" fillId="2" borderId="0" xfId="0" applyNumberFormat="1" applyFill="1"/>
    <xf numFmtId="2" fontId="0" fillId="0" borderId="1" xfId="0" applyNumberFormat="1" applyBorder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Hoja3!$C$1</c:f>
              <c:strCache>
                <c:ptCount val="1"/>
                <c:pt idx="0">
                  <c:v>Demanda de Energía electrica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Hoja3!$B$2:$B$8</c:f>
              <c:numCache>
                <c:formatCode>General</c:formatCode>
                <c:ptCount val="7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</c:numCache>
            </c:numRef>
          </c:xVal>
          <c:yVal>
            <c:numRef>
              <c:f>Hoja3!$C$2:$C$8</c:f>
              <c:numCache>
                <c:formatCode>General</c:formatCode>
                <c:ptCount val="7"/>
                <c:pt idx="0">
                  <c:v>74</c:v>
                </c:pt>
                <c:pt idx="1">
                  <c:v>79</c:v>
                </c:pt>
                <c:pt idx="2">
                  <c:v>80</c:v>
                </c:pt>
                <c:pt idx="3">
                  <c:v>90</c:v>
                </c:pt>
                <c:pt idx="4">
                  <c:v>105</c:v>
                </c:pt>
                <c:pt idx="5">
                  <c:v>142</c:v>
                </c:pt>
                <c:pt idx="6">
                  <c:v>122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E0-4C71-9F99-86372AFC8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589760"/>
        <c:axId val="1935609440"/>
      </c:scatterChart>
      <c:valAx>
        <c:axId val="1935589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935609440"/>
        <c:crosses val="autoZero"/>
        <c:crossBetween val="midCat"/>
      </c:valAx>
      <c:valAx>
        <c:axId val="19356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935589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GT"/>
              <a:t>Demanda de</a:t>
            </a:r>
            <a:r>
              <a:rPr lang="es-GT" baseline="0"/>
              <a:t> lo últimos años</a:t>
            </a:r>
            <a:endParaRPr lang="es-G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Hoja4!$B$2</c:f>
              <c:strCache>
                <c:ptCount val="1"/>
                <c:pt idx="0">
                  <c:v>Año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Hoja4!$B$3:$B$14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D-4404-9758-1AD4541A2716}"/>
            </c:ext>
          </c:extLst>
        </c:ser>
        <c:ser>
          <c:idx val="1"/>
          <c:order val="1"/>
          <c:tx>
            <c:strRef>
              <c:f>Hoja4!$C$2</c:f>
              <c:strCache>
                <c:ptCount val="1"/>
                <c:pt idx="0">
                  <c:v>Demanda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val>
            <c:numRef>
              <c:f>Hoja4!$C$3:$C$14</c:f>
              <c:numCache>
                <c:formatCode>General</c:formatCode>
                <c:ptCount val="12"/>
                <c:pt idx="0">
                  <c:v>7</c:v>
                </c:pt>
                <c:pt idx="1">
                  <c:v>9</c:v>
                </c:pt>
                <c:pt idx="2">
                  <c:v>5</c:v>
                </c:pt>
                <c:pt idx="3">
                  <c:v>9</c:v>
                </c:pt>
                <c:pt idx="4">
                  <c:v>13</c:v>
                </c:pt>
                <c:pt idx="5">
                  <c:v>8</c:v>
                </c:pt>
                <c:pt idx="6">
                  <c:v>12</c:v>
                </c:pt>
                <c:pt idx="7">
                  <c:v>13</c:v>
                </c:pt>
                <c:pt idx="8">
                  <c:v>9</c:v>
                </c:pt>
                <c:pt idx="9">
                  <c:v>11</c:v>
                </c:pt>
                <c:pt idx="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D-4404-9758-1AD4541A2716}"/>
            </c:ext>
          </c:extLst>
        </c:ser>
        <c:ser>
          <c:idx val="2"/>
          <c:order val="2"/>
          <c:tx>
            <c:strRef>
              <c:f>Hoja4!$B$19</c:f>
              <c:strCache>
                <c:ptCount val="1"/>
                <c:pt idx="0">
                  <c:v>Pronóstico Demanda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Hoja4!$B$20:$B$28</c:f>
              <c:numCache>
                <c:formatCode>General</c:formatCode>
                <c:ptCount val="9"/>
                <c:pt idx="0">
                  <c:v>7</c:v>
                </c:pt>
                <c:pt idx="1">
                  <c:v>7.666666666666667</c:v>
                </c:pt>
                <c:pt idx="2">
                  <c:v>9</c:v>
                </c:pt>
                <c:pt idx="3">
                  <c:v>10</c:v>
                </c:pt>
                <c:pt idx="4">
                  <c:v>11</c:v>
                </c:pt>
                <c:pt idx="5">
                  <c:v>11</c:v>
                </c:pt>
                <c:pt idx="6">
                  <c:v>11.333333333333334</c:v>
                </c:pt>
                <c:pt idx="7">
                  <c:v>11</c:v>
                </c:pt>
                <c:pt idx="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BD-4404-9758-1AD4541A2716}"/>
            </c:ext>
          </c:extLst>
        </c:ser>
        <c:ser>
          <c:idx val="3"/>
          <c:order val="3"/>
          <c:tx>
            <c:strRef>
              <c:f>Hoja4!$D$19</c:f>
              <c:strCache>
                <c:ptCount val="1"/>
                <c:pt idx="0">
                  <c:v>Pronóstico Media Movil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Hoja4!$D$20:$D$28</c:f>
              <c:numCache>
                <c:formatCode>General</c:formatCode>
                <c:ptCount val="9"/>
                <c:pt idx="0">
                  <c:v>6.3999999999999995</c:v>
                </c:pt>
                <c:pt idx="1">
                  <c:v>7.8</c:v>
                </c:pt>
                <c:pt idx="2">
                  <c:v>11</c:v>
                </c:pt>
                <c:pt idx="3">
                  <c:v>9.6</c:v>
                </c:pt>
                <c:pt idx="4">
                  <c:v>10.9</c:v>
                </c:pt>
                <c:pt idx="5">
                  <c:v>12.2</c:v>
                </c:pt>
                <c:pt idx="6">
                  <c:v>10.5</c:v>
                </c:pt>
                <c:pt idx="7">
                  <c:v>10.6</c:v>
                </c:pt>
                <c:pt idx="8">
                  <c:v>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BD-4404-9758-1AD4541A2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5604160"/>
        <c:axId val="1935590240"/>
      </c:lineChart>
      <c:catAx>
        <c:axId val="1935604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935590240"/>
        <c:crosses val="autoZero"/>
        <c:auto val="1"/>
        <c:lblAlgn val="ctr"/>
        <c:lblOffset val="100"/>
        <c:noMultiLvlLbl val="0"/>
      </c:catAx>
      <c:valAx>
        <c:axId val="193559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193560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228600</xdr:colOff>
      <xdr:row>2</xdr:row>
      <xdr:rowOff>41910</xdr:rowOff>
    </xdr:from>
    <xdr:to>
      <xdr:col>16</xdr:col>
      <xdr:colOff>45720</xdr:colOff>
      <xdr:row>16</xdr:row>
      <xdr:rowOff>125730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1138F27-F586-B3A2-31A1-74BB3DE05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0</xdr:row>
      <xdr:rowOff>76200</xdr:rowOff>
    </xdr:from>
    <xdr:to>
      <xdr:col>9</xdr:col>
      <xdr:colOff>45720</xdr:colOff>
      <xdr:row>15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12584B-2789-B76D-515E-13E7725E3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460D-52D7-4636-B588-DF5A7775549E}">
  <dimension ref="A1:C3"/>
  <sheetViews>
    <sheetView workbookViewId="0">
      <selection sqref="A1:C3"/>
    </sheetView>
  </sheetViews>
  <sheetFormatPr baseColWidth="10" defaultRowHeight="14.4" x14ac:dyDescent="0.3"/>
  <cols>
    <col min="2" max="2" width="23.77734375" customWidth="1"/>
    <col min="3" max="3" width="3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158.4" x14ac:dyDescent="0.3">
      <c r="A2" s="1" t="s">
        <v>3</v>
      </c>
      <c r="B2" s="3" t="s">
        <v>4</v>
      </c>
      <c r="C2" s="3" t="s">
        <v>5</v>
      </c>
    </row>
    <row r="3" spans="1:3" ht="144" x14ac:dyDescent="0.3">
      <c r="A3" s="1" t="s">
        <v>6</v>
      </c>
      <c r="B3" s="3" t="s">
        <v>7</v>
      </c>
      <c r="C3" s="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E6B8-B014-4071-B1CE-E5E66937FC65}">
  <dimension ref="B1:H17"/>
  <sheetViews>
    <sheetView workbookViewId="0">
      <selection activeCell="G5" sqref="G5"/>
    </sheetView>
  </sheetViews>
  <sheetFormatPr baseColWidth="10" defaultRowHeight="14.4" x14ac:dyDescent="0.3"/>
  <sheetData>
    <row r="1" spans="2:8" ht="28.8" x14ac:dyDescent="0.3">
      <c r="B1" s="2" t="s">
        <v>9</v>
      </c>
      <c r="C1" s="2" t="s">
        <v>10</v>
      </c>
      <c r="D1" s="5" t="s">
        <v>18</v>
      </c>
      <c r="E1" s="5" t="s">
        <v>17</v>
      </c>
      <c r="G1" s="14"/>
      <c r="H1" s="14"/>
    </row>
    <row r="2" spans="2:8" x14ac:dyDescent="0.3">
      <c r="B2" s="5">
        <v>1</v>
      </c>
      <c r="C2" s="5">
        <v>31</v>
      </c>
      <c r="D2" s="17">
        <v>31</v>
      </c>
      <c r="E2" s="17"/>
      <c r="G2" s="10"/>
      <c r="H2" s="10"/>
    </row>
    <row r="3" spans="2:8" x14ac:dyDescent="0.3">
      <c r="B3" s="5">
        <v>2</v>
      </c>
      <c r="C3" s="5">
        <v>34</v>
      </c>
      <c r="D3" s="17">
        <f>$C$15*C2+(1-$C$15)*D2</f>
        <v>31</v>
      </c>
      <c r="E3" s="17">
        <f>ABS(C3-D3)</f>
        <v>3</v>
      </c>
      <c r="G3" s="10"/>
      <c r="H3" s="10"/>
    </row>
    <row r="4" spans="2:8" x14ac:dyDescent="0.3">
      <c r="B4" s="5">
        <v>3</v>
      </c>
      <c r="C4" s="5">
        <v>33</v>
      </c>
      <c r="D4" s="17">
        <f t="shared" ref="D4:D12" si="0">$C$15*C3+(1-$C$15)*D3</f>
        <v>31.9</v>
      </c>
      <c r="E4" s="17">
        <f t="shared" ref="E4:E11" si="1">ABS(C4-D4)</f>
        <v>1.1000000000000014</v>
      </c>
      <c r="G4" s="10"/>
      <c r="H4" s="10" t="s">
        <v>16</v>
      </c>
    </row>
    <row r="5" spans="2:8" x14ac:dyDescent="0.3">
      <c r="B5" s="5">
        <v>4</v>
      </c>
      <c r="C5" s="5">
        <v>35</v>
      </c>
      <c r="D5" s="17">
        <f t="shared" si="0"/>
        <v>32.229999999999997</v>
      </c>
      <c r="E5" s="17">
        <f t="shared" si="1"/>
        <v>2.7700000000000031</v>
      </c>
      <c r="G5" s="15">
        <f>(D11*H5)+(D10*H6)+(D9*H7)</f>
        <v>37.426309491999987</v>
      </c>
      <c r="H5" s="10">
        <v>0.6</v>
      </c>
    </row>
    <row r="6" spans="2:8" x14ac:dyDescent="0.3">
      <c r="B6" s="5">
        <v>5</v>
      </c>
      <c r="C6" s="5">
        <v>37</v>
      </c>
      <c r="D6" s="17">
        <f t="shared" si="0"/>
        <v>33.060999999999993</v>
      </c>
      <c r="E6" s="17">
        <f t="shared" si="1"/>
        <v>3.9390000000000072</v>
      </c>
      <c r="G6" s="10"/>
      <c r="H6" s="10">
        <v>0.3</v>
      </c>
    </row>
    <row r="7" spans="2:8" x14ac:dyDescent="0.3">
      <c r="B7" s="5">
        <v>6</v>
      </c>
      <c r="C7" s="5">
        <v>36</v>
      </c>
      <c r="D7" s="17">
        <f t="shared" si="0"/>
        <v>34.242699999999992</v>
      </c>
      <c r="E7" s="17">
        <f t="shared" si="1"/>
        <v>1.7573000000000079</v>
      </c>
      <c r="G7" s="10"/>
      <c r="H7" s="10">
        <v>0.1</v>
      </c>
    </row>
    <row r="8" spans="2:8" x14ac:dyDescent="0.3">
      <c r="B8" s="5">
        <v>7</v>
      </c>
      <c r="C8" s="5">
        <v>38</v>
      </c>
      <c r="D8" s="17">
        <f t="shared" si="0"/>
        <v>34.76988999999999</v>
      </c>
      <c r="E8" s="17">
        <f t="shared" si="1"/>
        <v>3.2301100000000105</v>
      </c>
      <c r="G8" s="10"/>
      <c r="H8" s="10"/>
    </row>
    <row r="9" spans="2:8" x14ac:dyDescent="0.3">
      <c r="B9" s="5">
        <v>8</v>
      </c>
      <c r="C9" s="5">
        <v>40</v>
      </c>
      <c r="D9" s="17">
        <f t="shared" si="0"/>
        <v>35.738922999999993</v>
      </c>
      <c r="E9" s="17">
        <f t="shared" si="1"/>
        <v>4.2610770000000073</v>
      </c>
      <c r="G9" s="10"/>
      <c r="H9" s="10"/>
    </row>
    <row r="10" spans="2:8" x14ac:dyDescent="0.3">
      <c r="B10" s="5">
        <v>9</v>
      </c>
      <c r="C10" s="5">
        <v>40</v>
      </c>
      <c r="D10" s="17">
        <f t="shared" si="0"/>
        <v>37.017246099999994</v>
      </c>
      <c r="E10" s="17">
        <f t="shared" si="1"/>
        <v>2.9827539000000058</v>
      </c>
      <c r="G10" s="10"/>
      <c r="H10" s="10"/>
    </row>
    <row r="11" spans="2:8" x14ac:dyDescent="0.3">
      <c r="B11" s="5">
        <v>10</v>
      </c>
      <c r="C11" s="5">
        <v>41</v>
      </c>
      <c r="D11" s="17">
        <f t="shared" si="0"/>
        <v>37.912072269999996</v>
      </c>
      <c r="E11" s="17">
        <f t="shared" si="1"/>
        <v>3.0879277300000041</v>
      </c>
      <c r="G11" s="10"/>
      <c r="H11" s="10"/>
    </row>
    <row r="12" spans="2:8" x14ac:dyDescent="0.3">
      <c r="B12" s="10"/>
      <c r="C12" s="10"/>
      <c r="D12" s="11">
        <f t="shared" si="0"/>
        <v>38.838450588999997</v>
      </c>
      <c r="E12" s="18">
        <f>AVERAGE(E3:E11)</f>
        <v>2.9031298477777829</v>
      </c>
      <c r="F12" s="16">
        <f>AVERAGE(C9:C11)</f>
        <v>40.333333333333336</v>
      </c>
      <c r="G12" s="10"/>
      <c r="H12" s="10"/>
    </row>
    <row r="14" spans="2:8" x14ac:dyDescent="0.3">
      <c r="B14" t="s">
        <v>11</v>
      </c>
    </row>
    <row r="15" spans="2:8" x14ac:dyDescent="0.3">
      <c r="B15" s="6" t="s">
        <v>12</v>
      </c>
      <c r="C15" s="7">
        <v>0.3</v>
      </c>
      <c r="F15" s="12" t="s">
        <v>14</v>
      </c>
      <c r="G15" s="13">
        <f>D12</f>
        <v>38.838450588999997</v>
      </c>
    </row>
    <row r="16" spans="2:8" ht="28.8" x14ac:dyDescent="0.3">
      <c r="B16" s="6" t="s">
        <v>13</v>
      </c>
      <c r="C16" s="8">
        <v>31</v>
      </c>
      <c r="F16" s="12"/>
      <c r="G16" s="12"/>
    </row>
    <row r="17" spans="2:3" x14ac:dyDescent="0.3">
      <c r="B17" s="9" t="s">
        <v>15</v>
      </c>
      <c r="C17" s="8">
        <v>11</v>
      </c>
    </row>
  </sheetData>
  <mergeCells count="2">
    <mergeCell ref="F15:F16"/>
    <mergeCell ref="G15:G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4610-7503-4C39-8647-E3F7EB069433}">
  <dimension ref="A1:I15"/>
  <sheetViews>
    <sheetView workbookViewId="0">
      <selection activeCell="G14" sqref="G14:G15"/>
    </sheetView>
  </sheetViews>
  <sheetFormatPr baseColWidth="10" defaultRowHeight="14.4" x14ac:dyDescent="0.3"/>
  <cols>
    <col min="7" max="7" width="12.88671875" customWidth="1"/>
  </cols>
  <sheetData>
    <row r="1" spans="1:9" ht="43.2" x14ac:dyDescent="0.3">
      <c r="A1" s="5" t="s">
        <v>21</v>
      </c>
      <c r="B1" s="2" t="s">
        <v>19</v>
      </c>
      <c r="C1" s="2" t="s">
        <v>20</v>
      </c>
      <c r="D1" s="5" t="s">
        <v>25</v>
      </c>
      <c r="E1" s="5" t="s">
        <v>22</v>
      </c>
      <c r="F1" s="4"/>
      <c r="G1" s="4"/>
      <c r="H1" s="4"/>
    </row>
    <row r="2" spans="1:9" x14ac:dyDescent="0.3">
      <c r="A2" s="5">
        <v>1</v>
      </c>
      <c r="B2" s="2">
        <v>2009</v>
      </c>
      <c r="C2" s="2">
        <v>74</v>
      </c>
      <c r="D2" s="5">
        <f>POWER(A2,2)</f>
        <v>1</v>
      </c>
      <c r="E2" s="5">
        <f>A2*C2</f>
        <v>74</v>
      </c>
      <c r="F2" s="4"/>
      <c r="G2" s="4" t="s">
        <v>27</v>
      </c>
      <c r="H2" s="4"/>
    </row>
    <row r="3" spans="1:9" x14ac:dyDescent="0.3">
      <c r="A3" s="5">
        <v>2</v>
      </c>
      <c r="B3" s="2">
        <v>2010</v>
      </c>
      <c r="C3" s="2">
        <v>79</v>
      </c>
      <c r="D3" s="5">
        <f t="shared" ref="D3:D8" si="0">POWER(A3,2)</f>
        <v>4</v>
      </c>
      <c r="E3" s="5">
        <f t="shared" ref="E3:E8" si="1">A3*C3</f>
        <v>158</v>
      </c>
      <c r="F3" s="4"/>
      <c r="G3" s="4"/>
      <c r="H3" s="4">
        <f>(A8*E9)-(A9*C9)</f>
        <v>2065</v>
      </c>
      <c r="I3">
        <f>H3/H4</f>
        <v>10.535714285714286</v>
      </c>
    </row>
    <row r="4" spans="1:9" x14ac:dyDescent="0.3">
      <c r="A4" s="5">
        <v>3</v>
      </c>
      <c r="B4" s="2">
        <v>2011</v>
      </c>
      <c r="C4" s="2">
        <v>80</v>
      </c>
      <c r="D4" s="5">
        <f t="shared" si="0"/>
        <v>9</v>
      </c>
      <c r="E4" s="5">
        <f t="shared" si="1"/>
        <v>240</v>
      </c>
      <c r="F4" s="4"/>
      <c r="G4" s="4"/>
      <c r="H4" s="4">
        <f>(A8*D9)-B12</f>
        <v>196</v>
      </c>
    </row>
    <row r="5" spans="1:9" x14ac:dyDescent="0.3">
      <c r="A5" s="5">
        <v>4</v>
      </c>
      <c r="B5" s="2">
        <v>2012</v>
      </c>
      <c r="C5" s="2">
        <v>90</v>
      </c>
      <c r="D5" s="5">
        <f t="shared" si="0"/>
        <v>16</v>
      </c>
      <c r="E5" s="5">
        <f t="shared" si="1"/>
        <v>360</v>
      </c>
      <c r="F5" s="4"/>
      <c r="G5" s="4"/>
      <c r="H5" s="4"/>
    </row>
    <row r="6" spans="1:9" x14ac:dyDescent="0.3">
      <c r="A6" s="5">
        <v>5</v>
      </c>
      <c r="B6" s="2">
        <v>2013</v>
      </c>
      <c r="C6" s="2">
        <v>105</v>
      </c>
      <c r="D6" s="5">
        <f t="shared" si="0"/>
        <v>25</v>
      </c>
      <c r="E6" s="5">
        <f t="shared" si="1"/>
        <v>525</v>
      </c>
      <c r="F6" s="4"/>
      <c r="G6" s="4" t="s">
        <v>28</v>
      </c>
      <c r="H6" s="4">
        <f>B15-(I3*B14)</f>
        <v>56.714285714285715</v>
      </c>
    </row>
    <row r="7" spans="1:9" x14ac:dyDescent="0.3">
      <c r="A7" s="5">
        <v>6</v>
      </c>
      <c r="B7" s="2">
        <v>2014</v>
      </c>
      <c r="C7" s="2">
        <v>142</v>
      </c>
      <c r="D7" s="5">
        <f t="shared" si="0"/>
        <v>36</v>
      </c>
      <c r="E7" s="5">
        <f t="shared" si="1"/>
        <v>852</v>
      </c>
      <c r="F7" s="4"/>
      <c r="G7" s="4"/>
      <c r="H7" s="4"/>
    </row>
    <row r="8" spans="1:9" x14ac:dyDescent="0.3">
      <c r="A8" s="5">
        <v>7</v>
      </c>
      <c r="B8" s="2">
        <v>2015</v>
      </c>
      <c r="C8" s="2">
        <v>122</v>
      </c>
      <c r="D8" s="5">
        <f t="shared" si="0"/>
        <v>49</v>
      </c>
      <c r="E8" s="5">
        <f t="shared" si="1"/>
        <v>854</v>
      </c>
      <c r="F8" s="4"/>
      <c r="G8" s="4"/>
      <c r="H8" s="4"/>
    </row>
    <row r="9" spans="1:9" x14ac:dyDescent="0.3">
      <c r="A9" s="5">
        <f>SUM(A2:A8)</f>
        <v>28</v>
      </c>
      <c r="B9" s="5"/>
      <c r="C9" s="5">
        <f>SUM(C2:C8)</f>
        <v>692</v>
      </c>
      <c r="D9" s="5">
        <f>SUM(D2:D8)</f>
        <v>140</v>
      </c>
      <c r="E9" s="5">
        <f>SUM(E2:E8)</f>
        <v>3063</v>
      </c>
      <c r="F9" s="4"/>
      <c r="G9" s="4"/>
      <c r="H9" s="4"/>
    </row>
    <row r="10" spans="1:9" x14ac:dyDescent="0.3">
      <c r="A10" t="s">
        <v>23</v>
      </c>
      <c r="C10" t="s">
        <v>24</v>
      </c>
    </row>
    <row r="11" spans="1:9" x14ac:dyDescent="0.3">
      <c r="E11" t="s">
        <v>31</v>
      </c>
    </row>
    <row r="12" spans="1:9" x14ac:dyDescent="0.3">
      <c r="A12" t="s">
        <v>26</v>
      </c>
      <c r="B12">
        <f>POWER(A9,2)</f>
        <v>784</v>
      </c>
      <c r="E12" s="19" t="s">
        <v>32</v>
      </c>
      <c r="F12" s="19">
        <f>H6</f>
        <v>56.714285714285715</v>
      </c>
      <c r="G12" s="19" t="s">
        <v>33</v>
      </c>
      <c r="H12" s="19">
        <f>I3</f>
        <v>10.535714285714286</v>
      </c>
      <c r="I12" s="19" t="s">
        <v>23</v>
      </c>
    </row>
    <row r="14" spans="1:9" ht="22.2" customHeight="1" x14ac:dyDescent="0.3">
      <c r="A14" t="s">
        <v>29</v>
      </c>
      <c r="B14">
        <f>AVERAGE(A2:A8)</f>
        <v>4</v>
      </c>
      <c r="E14" s="12" t="s">
        <v>34</v>
      </c>
      <c r="F14" s="12"/>
      <c r="G14" s="12">
        <f>F12+(H12*8)</f>
        <v>141</v>
      </c>
    </row>
    <row r="15" spans="1:9" x14ac:dyDescent="0.3">
      <c r="A15" t="s">
        <v>30</v>
      </c>
      <c r="B15">
        <f>AVERAGE(C2:C8)</f>
        <v>98.857142857142861</v>
      </c>
      <c r="E15" s="12"/>
      <c r="F15" s="12"/>
      <c r="G15" s="12"/>
    </row>
  </sheetData>
  <mergeCells count="2">
    <mergeCell ref="E14:F15"/>
    <mergeCell ref="G14:G1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7243A-7533-4D2E-A06C-E4A79A6AD8F3}">
  <dimension ref="A2:F28"/>
  <sheetViews>
    <sheetView tabSelected="1" topLeftCell="A11" workbookViewId="0">
      <selection activeCell="E22" sqref="E22"/>
    </sheetView>
  </sheetViews>
  <sheetFormatPr baseColWidth="10" defaultRowHeight="14.4" x14ac:dyDescent="0.3"/>
  <cols>
    <col min="1" max="1" width="19.44140625" customWidth="1"/>
  </cols>
  <sheetData>
    <row r="2" spans="2:3" x14ac:dyDescent="0.3">
      <c r="B2" s="5" t="s">
        <v>35</v>
      </c>
      <c r="C2" s="5" t="s">
        <v>36</v>
      </c>
    </row>
    <row r="3" spans="2:3" x14ac:dyDescent="0.3">
      <c r="B3" s="5">
        <v>1</v>
      </c>
      <c r="C3" s="5">
        <v>7</v>
      </c>
    </row>
    <row r="4" spans="2:3" x14ac:dyDescent="0.3">
      <c r="B4" s="5">
        <v>2</v>
      </c>
      <c r="C4" s="5">
        <v>9</v>
      </c>
    </row>
    <row r="5" spans="2:3" x14ac:dyDescent="0.3">
      <c r="B5" s="5">
        <v>3</v>
      </c>
      <c r="C5" s="5">
        <v>5</v>
      </c>
    </row>
    <row r="6" spans="2:3" x14ac:dyDescent="0.3">
      <c r="B6" s="5">
        <v>4</v>
      </c>
      <c r="C6" s="5">
        <v>9</v>
      </c>
    </row>
    <row r="7" spans="2:3" x14ac:dyDescent="0.3">
      <c r="B7" s="5">
        <v>5</v>
      </c>
      <c r="C7" s="5">
        <v>13</v>
      </c>
    </row>
    <row r="8" spans="2:3" x14ac:dyDescent="0.3">
      <c r="B8" s="5">
        <v>6</v>
      </c>
      <c r="C8" s="5">
        <v>8</v>
      </c>
    </row>
    <row r="9" spans="2:3" x14ac:dyDescent="0.3">
      <c r="B9" s="5">
        <v>7</v>
      </c>
      <c r="C9" s="5">
        <v>12</v>
      </c>
    </row>
    <row r="10" spans="2:3" x14ac:dyDescent="0.3">
      <c r="B10" s="5">
        <v>8</v>
      </c>
      <c r="C10" s="5">
        <v>13</v>
      </c>
    </row>
    <row r="11" spans="2:3" x14ac:dyDescent="0.3">
      <c r="B11" s="5">
        <v>9</v>
      </c>
      <c r="C11" s="5">
        <v>9</v>
      </c>
    </row>
    <row r="12" spans="2:3" x14ac:dyDescent="0.3">
      <c r="B12" s="5">
        <v>10</v>
      </c>
      <c r="C12" s="5">
        <v>11</v>
      </c>
    </row>
    <row r="13" spans="2:3" x14ac:dyDescent="0.3">
      <c r="B13" s="5">
        <v>11</v>
      </c>
      <c r="C13" s="5">
        <v>7</v>
      </c>
    </row>
    <row r="14" spans="2:3" x14ac:dyDescent="0.3">
      <c r="B14" s="5">
        <v>12</v>
      </c>
      <c r="C14" s="5"/>
    </row>
    <row r="18" spans="1:6" x14ac:dyDescent="0.3">
      <c r="A18" t="s">
        <v>37</v>
      </c>
    </row>
    <row r="19" spans="1:6" ht="28.8" x14ac:dyDescent="0.3">
      <c r="B19" s="2" t="s">
        <v>38</v>
      </c>
      <c r="C19" s="2" t="s">
        <v>19</v>
      </c>
      <c r="D19" s="2" t="s">
        <v>39</v>
      </c>
      <c r="F19" s="20" t="s">
        <v>40</v>
      </c>
    </row>
    <row r="20" spans="1:6" x14ac:dyDescent="0.3">
      <c r="B20" s="2">
        <f>AVERAGE(C3:C5)</f>
        <v>7</v>
      </c>
      <c r="C20" s="2">
        <v>4</v>
      </c>
      <c r="D20" s="2">
        <f>($F$20*C5)+($F$21*C4)+($F$22*C3)</f>
        <v>6.3999999999999995</v>
      </c>
      <c r="F20">
        <v>0.6</v>
      </c>
    </row>
    <row r="21" spans="1:6" x14ac:dyDescent="0.3">
      <c r="B21" s="2">
        <f>AVERAGE(C4:C6)</f>
        <v>7.666666666666667</v>
      </c>
      <c r="C21" s="2">
        <v>5</v>
      </c>
      <c r="D21" s="2">
        <f t="shared" ref="D21:D28" si="0">($F$20*C6)+($F$21*C5)+($F$22*C4)</f>
        <v>7.8</v>
      </c>
      <c r="F21">
        <v>0.3</v>
      </c>
    </row>
    <row r="22" spans="1:6" x14ac:dyDescent="0.3">
      <c r="B22" s="2">
        <f>AVERAGE(C5:C7)</f>
        <v>9</v>
      </c>
      <c r="C22" s="2">
        <v>6</v>
      </c>
      <c r="D22" s="2">
        <f t="shared" si="0"/>
        <v>11</v>
      </c>
      <c r="F22">
        <v>0.1</v>
      </c>
    </row>
    <row r="23" spans="1:6" x14ac:dyDescent="0.3">
      <c r="B23" s="2">
        <f>AVERAGE(C6:C8)</f>
        <v>10</v>
      </c>
      <c r="C23" s="2">
        <v>7</v>
      </c>
      <c r="D23" s="2">
        <f t="shared" si="0"/>
        <v>9.6</v>
      </c>
    </row>
    <row r="24" spans="1:6" x14ac:dyDescent="0.3">
      <c r="B24" s="2">
        <f>AVERAGE(C7:C9)</f>
        <v>11</v>
      </c>
      <c r="C24" s="2">
        <v>8</v>
      </c>
      <c r="D24" s="2">
        <f t="shared" si="0"/>
        <v>10.9</v>
      </c>
    </row>
    <row r="25" spans="1:6" x14ac:dyDescent="0.3">
      <c r="B25" s="2">
        <f>AVERAGE(C8:C10)</f>
        <v>11</v>
      </c>
      <c r="C25" s="2">
        <v>9</v>
      </c>
      <c r="D25" s="2">
        <f t="shared" si="0"/>
        <v>12.2</v>
      </c>
    </row>
    <row r="26" spans="1:6" x14ac:dyDescent="0.3">
      <c r="B26" s="2">
        <f>AVERAGE(C9:C11)</f>
        <v>11.333333333333334</v>
      </c>
      <c r="C26" s="2">
        <v>10</v>
      </c>
      <c r="D26" s="2">
        <f t="shared" si="0"/>
        <v>10.5</v>
      </c>
    </row>
    <row r="27" spans="1:6" x14ac:dyDescent="0.3">
      <c r="B27" s="2">
        <f>AVERAGE(C10:C12)</f>
        <v>11</v>
      </c>
      <c r="C27" s="2">
        <v>11</v>
      </c>
      <c r="D27" s="2">
        <f t="shared" si="0"/>
        <v>10.6</v>
      </c>
    </row>
    <row r="28" spans="1:6" x14ac:dyDescent="0.3">
      <c r="B28" s="2">
        <f>AVERAGE(C11:C13)</f>
        <v>9</v>
      </c>
      <c r="C28" s="2">
        <v>12</v>
      </c>
      <c r="D28" s="2">
        <f t="shared" si="0"/>
        <v>8.4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2025-09-04T16:21:36Z</dcterms:created>
  <dcterms:modified xsi:type="dcterms:W3CDTF">2025-09-04T18:11:05Z</dcterms:modified>
</cp:coreProperties>
</file>