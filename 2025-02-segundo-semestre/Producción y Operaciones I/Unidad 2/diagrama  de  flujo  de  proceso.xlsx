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vn\Desktop\Segundo Semestre 2025\Producción y Operaciones I\Unidad 2\"/>
    </mc:Choice>
  </mc:AlternateContent>
  <xr:revisionPtr revIDLastSave="0" documentId="13_ncr:1_{3D500A85-10D3-43A4-B5B0-86F27C2FDB8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regunta 1" sheetId="1" r:id="rId1"/>
    <sheet name="Pregunta 2" sheetId="4" r:id="rId2"/>
    <sheet name="Hoja2" sheetId="2" r:id="rId3"/>
    <sheet name="Hoja3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D6" i="4"/>
  <c r="C6" i="4"/>
  <c r="D5" i="4"/>
  <c r="C5" i="4"/>
  <c r="D4" i="4"/>
  <c r="C4" i="4"/>
  <c r="H28" i="4"/>
  <c r="H20" i="1"/>
  <c r="I5" i="1"/>
  <c r="I4" i="1"/>
  <c r="D8" i="1"/>
  <c r="C8" i="1"/>
  <c r="D6" i="1"/>
  <c r="C6" i="1"/>
  <c r="D5" i="1"/>
  <c r="C5" i="1"/>
  <c r="D4" i="1"/>
  <c r="C4" i="1"/>
  <c r="D9" i="4"/>
  <c r="D9" i="1"/>
</calcChain>
</file>

<file path=xl/sharedStrings.xml><?xml version="1.0" encoding="utf-8"?>
<sst xmlns="http://schemas.openxmlformats.org/spreadsheetml/2006/main" count="74" uniqueCount="49">
  <si>
    <t>Actual</t>
  </si>
  <si>
    <t>No.       1</t>
  </si>
  <si>
    <t>RESUMEN</t>
  </si>
  <si>
    <t>#</t>
  </si>
  <si>
    <t>Tpo</t>
  </si>
  <si>
    <t>Operaciones</t>
  </si>
  <si>
    <t>El Diagrama Empienza:</t>
  </si>
  <si>
    <t>Transporte</t>
  </si>
  <si>
    <t>El Diagrama Termina:</t>
  </si>
  <si>
    <t>Controles</t>
  </si>
  <si>
    <t>Esperas</t>
  </si>
  <si>
    <t xml:space="preserve">Fecha: </t>
  </si>
  <si>
    <t>Almacenamiento</t>
  </si>
  <si>
    <t>TOTAL</t>
  </si>
  <si>
    <t>Descripciòn Actividades</t>
  </si>
  <si>
    <t>Op.</t>
  </si>
  <si>
    <t>Trp.</t>
  </si>
  <si>
    <t>Ctr.</t>
  </si>
  <si>
    <t>Esp.</t>
  </si>
  <si>
    <t>Alm.</t>
  </si>
  <si>
    <t xml:space="preserve">Elaborado por: </t>
  </si>
  <si>
    <t>Solicitar las llaves del gabinete de la tragamonedas en la caja del cajero</t>
  </si>
  <si>
    <t>Tiempo (min)</t>
  </si>
  <si>
    <t>Recibir las llaves y abrir el gabinete de la tragamonedas</t>
  </si>
  <si>
    <t>Sacar el cubo con monedas del gabinete de la tragamonedas</t>
  </si>
  <si>
    <t>Colocar etiqueta con el número de la máquina en el cubo</t>
  </si>
  <si>
    <t>Colocar los cubos de 20 tragamonedas en el carrito</t>
  </si>
  <si>
    <t>Transportar el carrito con los cubos hacia la sala de conteo</t>
  </si>
  <si>
    <t>Entregar los cubos al personal de la sala de conteo (con seguridad y contabilidad presentes)</t>
  </si>
  <si>
    <t>Guardar los cubos bajo llave en la sala de conteo</t>
  </si>
  <si>
    <t>DIAGRAMA DE FLUJO DEL PROCESO DE  PROCESO DE ENTREGA</t>
  </si>
  <si>
    <t>Iniciar proceso de conteo a la hora programada (arranque de sesión)</t>
  </si>
  <si>
    <t>Probar la báscula</t>
  </si>
  <si>
    <t>Comparar resultados de prueba con calibración anterior</t>
  </si>
  <si>
    <t>Verter el contenido del cubo en la báscula y registrar número de máquina</t>
  </si>
  <si>
    <t>Báscula convierte peso a valor en dólares y registra en el libro</t>
  </si>
  <si>
    <t>Monedas caen en banda y son transportadas automáticamente a la máquina de envolver</t>
  </si>
  <si>
    <t>DIAGRAMA DE FLUJO DEL PROCESO DE  CONTAR LAS MONEDAS</t>
  </si>
  <si>
    <t>Envolver monedas en rollos (40 rollos)</t>
  </si>
  <si>
    <t>Transportar rollos a estación de enlatado</t>
  </si>
  <si>
    <t>Llenar y apilar la lata con los rollos</t>
  </si>
  <si>
    <t>Generar y registrar reporte resumido de la báscula</t>
  </si>
  <si>
    <t>Contar manualmente la lata y registrar totales</t>
  </si>
  <si>
    <t>Calcular diferencias en montos y porcentajes</t>
  </si>
  <si>
    <t>Firmar reporte de verificación de pesos/envoltorios</t>
  </si>
  <si>
    <t>Notificar a la jaula del cajero que la entrega está lista</t>
  </si>
  <si>
    <t>Cajero de la jaula realiza conteo y verificación independiente</t>
  </si>
  <si>
    <t>Cajero principal firma el reporte y acepta la entrega</t>
  </si>
  <si>
    <t>Mario Daniel Sajvin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</si>
</sst>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66674</xdr:rowOff>
    </xdr:from>
    <xdr:to>
      <xdr:col>0</xdr:col>
      <xdr:colOff>314324</xdr:colOff>
      <xdr:row>3</xdr:row>
      <xdr:rowOff>161925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7625" y="685799"/>
          <a:ext cx="209549" cy="9525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66676</xdr:colOff>
      <xdr:row>4</xdr:row>
      <xdr:rowOff>57150</xdr:rowOff>
    </xdr:from>
    <xdr:to>
      <xdr:col>0</xdr:col>
      <xdr:colOff>276226</xdr:colOff>
      <xdr:row>4</xdr:row>
      <xdr:rowOff>142875</xdr:rowOff>
    </xdr:to>
    <xdr:sp macro="" textlink="">
      <xdr:nvSpPr>
        <xdr:cNvPr id="3" name="2 Flecha derech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676" y="866775"/>
          <a:ext cx="19050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76201</xdr:colOff>
      <xdr:row>5</xdr:row>
      <xdr:rowOff>28576</xdr:rowOff>
    </xdr:from>
    <xdr:to>
      <xdr:col>0</xdr:col>
      <xdr:colOff>219075</xdr:colOff>
      <xdr:row>5</xdr:row>
      <xdr:rowOff>152400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201" y="1028701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76201</xdr:colOff>
      <xdr:row>6</xdr:row>
      <xdr:rowOff>47625</xdr:rowOff>
    </xdr:from>
    <xdr:to>
      <xdr:col>0</xdr:col>
      <xdr:colOff>238125</xdr:colOff>
      <xdr:row>6</xdr:row>
      <xdr:rowOff>171450</xdr:rowOff>
    </xdr:to>
    <xdr:sp macro="" textlink="">
      <xdr:nvSpPr>
        <xdr:cNvPr id="5" name="4 Retras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6201" y="1238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66675</xdr:colOff>
      <xdr:row>7</xdr:row>
      <xdr:rowOff>28575</xdr:rowOff>
    </xdr:from>
    <xdr:to>
      <xdr:col>0</xdr:col>
      <xdr:colOff>190500</xdr:colOff>
      <xdr:row>7</xdr:row>
      <xdr:rowOff>133350</xdr:rowOff>
    </xdr:to>
    <xdr:sp macro="" textlink="">
      <xdr:nvSpPr>
        <xdr:cNvPr id="6" name="5 Combina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6675" y="1409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11</xdr:row>
      <xdr:rowOff>19051</xdr:rowOff>
    </xdr:from>
    <xdr:to>
      <xdr:col>2</xdr:col>
      <xdr:colOff>238125</xdr:colOff>
      <xdr:row>11</xdr:row>
      <xdr:rowOff>142875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95975" y="2162176"/>
          <a:ext cx="238125" cy="12382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7620</xdr:colOff>
      <xdr:row>12</xdr:row>
      <xdr:rowOff>38100</xdr:rowOff>
    </xdr:from>
    <xdr:to>
      <xdr:col>2</xdr:col>
      <xdr:colOff>245745</xdr:colOff>
      <xdr:row>12</xdr:row>
      <xdr:rowOff>171450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73140" y="2278380"/>
          <a:ext cx="238125" cy="13335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13</xdr:row>
      <xdr:rowOff>19050</xdr:rowOff>
    </xdr:from>
    <xdr:to>
      <xdr:col>2</xdr:col>
      <xdr:colOff>228600</xdr:colOff>
      <xdr:row>13</xdr:row>
      <xdr:rowOff>123825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895975" y="2543175"/>
          <a:ext cx="228600" cy="104775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14</xdr:row>
      <xdr:rowOff>38101</xdr:rowOff>
    </xdr:from>
    <xdr:to>
      <xdr:col>2</xdr:col>
      <xdr:colOff>228600</xdr:colOff>
      <xdr:row>14</xdr:row>
      <xdr:rowOff>133351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895975" y="2752726"/>
          <a:ext cx="228600" cy="9525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15</xdr:row>
      <xdr:rowOff>28575</xdr:rowOff>
    </xdr:from>
    <xdr:to>
      <xdr:col>2</xdr:col>
      <xdr:colOff>228600</xdr:colOff>
      <xdr:row>15</xdr:row>
      <xdr:rowOff>133350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895975" y="2933700"/>
          <a:ext cx="228600" cy="104775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16</xdr:row>
      <xdr:rowOff>19050</xdr:rowOff>
    </xdr:from>
    <xdr:to>
      <xdr:col>2</xdr:col>
      <xdr:colOff>247650</xdr:colOff>
      <xdr:row>16</xdr:row>
      <xdr:rowOff>133350</xdr:rowOff>
    </xdr:to>
    <xdr:sp macro="" textlink="">
      <xdr:nvSpPr>
        <xdr:cNvPr id="12" name="11 Elips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895975" y="3114675"/>
          <a:ext cx="247650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17</xdr:row>
      <xdr:rowOff>28575</xdr:rowOff>
    </xdr:from>
    <xdr:to>
      <xdr:col>2</xdr:col>
      <xdr:colOff>238125</xdr:colOff>
      <xdr:row>17</xdr:row>
      <xdr:rowOff>133350</xdr:rowOff>
    </xdr:to>
    <xdr:sp macro="" textlink="">
      <xdr:nvSpPr>
        <xdr:cNvPr id="13" name="12 Elips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895975" y="3314700"/>
          <a:ext cx="238125" cy="104775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18</xdr:row>
      <xdr:rowOff>28576</xdr:rowOff>
    </xdr:from>
    <xdr:to>
      <xdr:col>2</xdr:col>
      <xdr:colOff>238125</xdr:colOff>
      <xdr:row>18</xdr:row>
      <xdr:rowOff>123826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895975" y="3505201"/>
          <a:ext cx="238125" cy="95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28575</xdr:colOff>
      <xdr:row>11</xdr:row>
      <xdr:rowOff>47625</xdr:rowOff>
    </xdr:from>
    <xdr:to>
      <xdr:col>3</xdr:col>
      <xdr:colOff>238125</xdr:colOff>
      <xdr:row>11</xdr:row>
      <xdr:rowOff>133350</xdr:rowOff>
    </xdr:to>
    <xdr:sp macro="" textlink="">
      <xdr:nvSpPr>
        <xdr:cNvPr id="18" name="17 Flecha derech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200775" y="21907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12</xdr:row>
      <xdr:rowOff>47625</xdr:rowOff>
    </xdr:from>
    <xdr:to>
      <xdr:col>3</xdr:col>
      <xdr:colOff>228600</xdr:colOff>
      <xdr:row>12</xdr:row>
      <xdr:rowOff>133350</xdr:rowOff>
    </xdr:to>
    <xdr:sp macro="" textlink="">
      <xdr:nvSpPr>
        <xdr:cNvPr id="19" name="18 Flecha derech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191250" y="23812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13</xdr:row>
      <xdr:rowOff>47625</xdr:rowOff>
    </xdr:from>
    <xdr:to>
      <xdr:col>3</xdr:col>
      <xdr:colOff>228600</xdr:colOff>
      <xdr:row>13</xdr:row>
      <xdr:rowOff>133350</xdr:rowOff>
    </xdr:to>
    <xdr:sp macro="" textlink="">
      <xdr:nvSpPr>
        <xdr:cNvPr id="20" name="19 Flecha derech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191250" y="25717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14</xdr:row>
      <xdr:rowOff>47625</xdr:rowOff>
    </xdr:from>
    <xdr:to>
      <xdr:col>3</xdr:col>
      <xdr:colOff>228600</xdr:colOff>
      <xdr:row>14</xdr:row>
      <xdr:rowOff>133350</xdr:rowOff>
    </xdr:to>
    <xdr:sp macro="" textlink="">
      <xdr:nvSpPr>
        <xdr:cNvPr id="21" name="20 Flecha derech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191250" y="27622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15</xdr:row>
      <xdr:rowOff>47625</xdr:rowOff>
    </xdr:from>
    <xdr:to>
      <xdr:col>3</xdr:col>
      <xdr:colOff>228600</xdr:colOff>
      <xdr:row>15</xdr:row>
      <xdr:rowOff>133350</xdr:rowOff>
    </xdr:to>
    <xdr:sp macro="" textlink="">
      <xdr:nvSpPr>
        <xdr:cNvPr id="22" name="21 Flecha derech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191250" y="29527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16</xdr:row>
      <xdr:rowOff>47625</xdr:rowOff>
    </xdr:from>
    <xdr:to>
      <xdr:col>3</xdr:col>
      <xdr:colOff>228600</xdr:colOff>
      <xdr:row>16</xdr:row>
      <xdr:rowOff>133350</xdr:rowOff>
    </xdr:to>
    <xdr:sp macro="" textlink="">
      <xdr:nvSpPr>
        <xdr:cNvPr id="23" name="22 Flecha derech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191250" y="3143250"/>
          <a:ext cx="209550" cy="85725"/>
        </a:xfrm>
        <a:prstGeom prst="rightArrow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17</xdr:row>
      <xdr:rowOff>47625</xdr:rowOff>
    </xdr:from>
    <xdr:to>
      <xdr:col>3</xdr:col>
      <xdr:colOff>228600</xdr:colOff>
      <xdr:row>17</xdr:row>
      <xdr:rowOff>133350</xdr:rowOff>
    </xdr:to>
    <xdr:sp macro="" textlink="">
      <xdr:nvSpPr>
        <xdr:cNvPr id="24" name="23 Flecha derech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191250" y="33337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18</xdr:row>
      <xdr:rowOff>47625</xdr:rowOff>
    </xdr:from>
    <xdr:to>
      <xdr:col>3</xdr:col>
      <xdr:colOff>228600</xdr:colOff>
      <xdr:row>18</xdr:row>
      <xdr:rowOff>133350</xdr:rowOff>
    </xdr:to>
    <xdr:sp macro="" textlink="">
      <xdr:nvSpPr>
        <xdr:cNvPr id="25" name="24 Flecha derech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191250" y="35242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11</xdr:row>
      <xdr:rowOff>28575</xdr:rowOff>
    </xdr:from>
    <xdr:to>
      <xdr:col>4</xdr:col>
      <xdr:colOff>200024</xdr:colOff>
      <xdr:row>11</xdr:row>
      <xdr:rowOff>152399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562725" y="2171700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12</xdr:row>
      <xdr:rowOff>28575</xdr:rowOff>
    </xdr:from>
    <xdr:to>
      <xdr:col>4</xdr:col>
      <xdr:colOff>200024</xdr:colOff>
      <xdr:row>12</xdr:row>
      <xdr:rowOff>152399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562725" y="23622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13</xdr:row>
      <xdr:rowOff>28575</xdr:rowOff>
    </xdr:from>
    <xdr:to>
      <xdr:col>4</xdr:col>
      <xdr:colOff>200024</xdr:colOff>
      <xdr:row>13</xdr:row>
      <xdr:rowOff>152399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562725" y="25527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14</xdr:row>
      <xdr:rowOff>38100</xdr:rowOff>
    </xdr:from>
    <xdr:to>
      <xdr:col>4</xdr:col>
      <xdr:colOff>200024</xdr:colOff>
      <xdr:row>14</xdr:row>
      <xdr:rowOff>161924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562725" y="275272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15</xdr:row>
      <xdr:rowOff>28575</xdr:rowOff>
    </xdr:from>
    <xdr:to>
      <xdr:col>4</xdr:col>
      <xdr:colOff>200024</xdr:colOff>
      <xdr:row>15</xdr:row>
      <xdr:rowOff>152399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562725" y="29337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16</xdr:row>
      <xdr:rowOff>28575</xdr:rowOff>
    </xdr:from>
    <xdr:to>
      <xdr:col>4</xdr:col>
      <xdr:colOff>200024</xdr:colOff>
      <xdr:row>16</xdr:row>
      <xdr:rowOff>152399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562725" y="31242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17</xdr:row>
      <xdr:rowOff>28575</xdr:rowOff>
    </xdr:from>
    <xdr:to>
      <xdr:col>4</xdr:col>
      <xdr:colOff>200024</xdr:colOff>
      <xdr:row>17</xdr:row>
      <xdr:rowOff>152399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562725" y="33147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18</xdr:row>
      <xdr:rowOff>28575</xdr:rowOff>
    </xdr:from>
    <xdr:to>
      <xdr:col>4</xdr:col>
      <xdr:colOff>200024</xdr:colOff>
      <xdr:row>18</xdr:row>
      <xdr:rowOff>152399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562725" y="350520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11</xdr:row>
      <xdr:rowOff>47625</xdr:rowOff>
    </xdr:from>
    <xdr:to>
      <xdr:col>5</xdr:col>
      <xdr:colOff>238125</xdr:colOff>
      <xdr:row>11</xdr:row>
      <xdr:rowOff>171450</xdr:rowOff>
    </xdr:to>
    <xdr:sp macro="" textlink="">
      <xdr:nvSpPr>
        <xdr:cNvPr id="40" name="39 Retras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858001" y="21907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12</xdr:row>
      <xdr:rowOff>47625</xdr:rowOff>
    </xdr:from>
    <xdr:to>
      <xdr:col>5</xdr:col>
      <xdr:colOff>238125</xdr:colOff>
      <xdr:row>12</xdr:row>
      <xdr:rowOff>171450</xdr:rowOff>
    </xdr:to>
    <xdr:sp macro="" textlink="">
      <xdr:nvSpPr>
        <xdr:cNvPr id="41" name="40 Retras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6858001" y="2381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13</xdr:row>
      <xdr:rowOff>47625</xdr:rowOff>
    </xdr:from>
    <xdr:to>
      <xdr:col>5</xdr:col>
      <xdr:colOff>238125</xdr:colOff>
      <xdr:row>13</xdr:row>
      <xdr:rowOff>171450</xdr:rowOff>
    </xdr:to>
    <xdr:sp macro="" textlink="">
      <xdr:nvSpPr>
        <xdr:cNvPr id="42" name="41 Retras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6858001" y="25717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14</xdr:row>
      <xdr:rowOff>47625</xdr:rowOff>
    </xdr:from>
    <xdr:to>
      <xdr:col>5</xdr:col>
      <xdr:colOff>238125</xdr:colOff>
      <xdr:row>14</xdr:row>
      <xdr:rowOff>171450</xdr:rowOff>
    </xdr:to>
    <xdr:sp macro="" textlink="">
      <xdr:nvSpPr>
        <xdr:cNvPr id="43" name="42 Retras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6858001" y="2762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15</xdr:row>
      <xdr:rowOff>47625</xdr:rowOff>
    </xdr:from>
    <xdr:to>
      <xdr:col>5</xdr:col>
      <xdr:colOff>238125</xdr:colOff>
      <xdr:row>15</xdr:row>
      <xdr:rowOff>171450</xdr:rowOff>
    </xdr:to>
    <xdr:sp macro="" textlink="">
      <xdr:nvSpPr>
        <xdr:cNvPr id="44" name="43 Retras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858001" y="29527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16</xdr:row>
      <xdr:rowOff>47625</xdr:rowOff>
    </xdr:from>
    <xdr:to>
      <xdr:col>5</xdr:col>
      <xdr:colOff>238125</xdr:colOff>
      <xdr:row>16</xdr:row>
      <xdr:rowOff>171450</xdr:rowOff>
    </xdr:to>
    <xdr:sp macro="" textlink="">
      <xdr:nvSpPr>
        <xdr:cNvPr id="45" name="44 Retras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6858001" y="3143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16</xdr:row>
      <xdr:rowOff>47625</xdr:rowOff>
    </xdr:from>
    <xdr:to>
      <xdr:col>5</xdr:col>
      <xdr:colOff>238125</xdr:colOff>
      <xdr:row>16</xdr:row>
      <xdr:rowOff>171450</xdr:rowOff>
    </xdr:to>
    <xdr:sp macro="" textlink="">
      <xdr:nvSpPr>
        <xdr:cNvPr id="46" name="45 Retras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858001" y="3143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17</xdr:row>
      <xdr:rowOff>47625</xdr:rowOff>
    </xdr:from>
    <xdr:to>
      <xdr:col>5</xdr:col>
      <xdr:colOff>238125</xdr:colOff>
      <xdr:row>17</xdr:row>
      <xdr:rowOff>171450</xdr:rowOff>
    </xdr:to>
    <xdr:sp macro="" textlink="">
      <xdr:nvSpPr>
        <xdr:cNvPr id="47" name="46 Retras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6858001" y="33337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18</xdr:row>
      <xdr:rowOff>47625</xdr:rowOff>
    </xdr:from>
    <xdr:to>
      <xdr:col>5</xdr:col>
      <xdr:colOff>238125</xdr:colOff>
      <xdr:row>18</xdr:row>
      <xdr:rowOff>171450</xdr:rowOff>
    </xdr:to>
    <xdr:sp macro="" textlink="">
      <xdr:nvSpPr>
        <xdr:cNvPr id="48" name="47 Retras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858001" y="3524250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2" name="51 Combinar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3" name="52 Combinar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4" name="53 Combinar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5" name="54 Combinar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6" name="55 Combinar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57" name="56 Combinar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8" name="57 Combinar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9" name="58 Combinar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0" name="59 Combinar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61" name="60 Combinar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62" name="61 Combinar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3" name="62 Combinar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64" name="63 Combinar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65" name="64 Combinar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66" name="65 Combinar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7" name="66 Combinar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68" name="67 Combinar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69" name="68 Combinar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70" name="69 Combinar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71" name="70 Combinar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72" name="71 Combinar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73" name="72 Combinar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74" name="73 Combinar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75" name="74 Combinar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76" name="75 Combinar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77" name="76 Combinar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78" name="77 Combinar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79" name="78 Combinar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80" name="79 Combinar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81" name="80 Combinar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82" name="81 Combinar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7153275" y="3314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83" name="82 Combinar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84" name="83 Combinar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85" name="84 Combinar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86" name="85 Combinar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87" name="86 Combinar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88" name="87 Combinar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89" name="88 Combinar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7153275" y="3314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90" name="89 Combinar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153275" y="3505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91" name="90 Combinar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92" name="91 Combinar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93" name="92 Combinar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94" name="93 Combinar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95" name="94 Combinar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96" name="95 Combinar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97" name="96 Combinar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7153275" y="3314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98" name="97 Combinar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7153275" y="3505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100" name="99 Combinar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101" name="100 Combinar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102" name="101 Combinar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103" name="102 Combinar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104" name="103 Combinar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105" name="104 Combinar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106" name="105 Combinar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7153275" y="3314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107" name="106 Combinar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7153275" y="3505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110" name="109 Combinar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7153275" y="2171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111" name="110 Combinar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7153275" y="2362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112" name="111 Combinar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7153275" y="2552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113" name="112 Combinar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53275" y="2743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114" name="113 Combinar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7153275" y="2933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115" name="114 Combinar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153275" y="31242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116" name="115 Combinar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7153275" y="3314700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117" name="116 Combinar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7153275" y="3505200"/>
          <a:ext cx="123825" cy="104775"/>
        </a:xfrm>
        <a:prstGeom prst="flowChartMerg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66674</xdr:rowOff>
    </xdr:from>
    <xdr:to>
      <xdr:col>0</xdr:col>
      <xdr:colOff>314324</xdr:colOff>
      <xdr:row>3</xdr:row>
      <xdr:rowOff>161925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11FBD15E-0F89-4241-AAE1-4946C89FA7DC}"/>
            </a:ext>
          </a:extLst>
        </xdr:cNvPr>
        <xdr:cNvSpPr/>
      </xdr:nvSpPr>
      <xdr:spPr>
        <a:xfrm>
          <a:off x="47625" y="661034"/>
          <a:ext cx="220979" cy="9525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66676</xdr:colOff>
      <xdr:row>4</xdr:row>
      <xdr:rowOff>57150</xdr:rowOff>
    </xdr:from>
    <xdr:to>
      <xdr:col>0</xdr:col>
      <xdr:colOff>276226</xdr:colOff>
      <xdr:row>4</xdr:row>
      <xdr:rowOff>142875</xdr:rowOff>
    </xdr:to>
    <xdr:sp macro="" textlink="">
      <xdr:nvSpPr>
        <xdr:cNvPr id="3" name="2 Flecha derecha">
          <a:extLst>
            <a:ext uri="{FF2B5EF4-FFF2-40B4-BE49-F238E27FC236}">
              <a16:creationId xmlns:a16="http://schemas.microsoft.com/office/drawing/2014/main" id="{C583E34A-C9E1-4490-86E6-1A46C7A4DF9F}"/>
            </a:ext>
          </a:extLst>
        </xdr:cNvPr>
        <xdr:cNvSpPr/>
      </xdr:nvSpPr>
      <xdr:spPr>
        <a:xfrm>
          <a:off x="66676" y="834390"/>
          <a:ext cx="20193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76201</xdr:colOff>
      <xdr:row>5</xdr:row>
      <xdr:rowOff>28576</xdr:rowOff>
    </xdr:from>
    <xdr:to>
      <xdr:col>0</xdr:col>
      <xdr:colOff>219075</xdr:colOff>
      <xdr:row>5</xdr:row>
      <xdr:rowOff>152400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246A5858-09DF-4B2B-BCCD-BEDAA1C7321A}"/>
            </a:ext>
          </a:extLst>
        </xdr:cNvPr>
        <xdr:cNvSpPr/>
      </xdr:nvSpPr>
      <xdr:spPr>
        <a:xfrm>
          <a:off x="76201" y="988696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76201</xdr:colOff>
      <xdr:row>6</xdr:row>
      <xdr:rowOff>47625</xdr:rowOff>
    </xdr:from>
    <xdr:to>
      <xdr:col>0</xdr:col>
      <xdr:colOff>238125</xdr:colOff>
      <xdr:row>6</xdr:row>
      <xdr:rowOff>171450</xdr:rowOff>
    </xdr:to>
    <xdr:sp macro="" textlink="">
      <xdr:nvSpPr>
        <xdr:cNvPr id="5" name="4 Retraso">
          <a:extLst>
            <a:ext uri="{FF2B5EF4-FFF2-40B4-BE49-F238E27FC236}">
              <a16:creationId xmlns:a16="http://schemas.microsoft.com/office/drawing/2014/main" id="{91FFFDBE-6D80-4E74-A9A7-39137EC915FD}"/>
            </a:ext>
          </a:extLst>
        </xdr:cNvPr>
        <xdr:cNvSpPr/>
      </xdr:nvSpPr>
      <xdr:spPr>
        <a:xfrm>
          <a:off x="76201" y="119062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66675</xdr:colOff>
      <xdr:row>7</xdr:row>
      <xdr:rowOff>28575</xdr:rowOff>
    </xdr:from>
    <xdr:to>
      <xdr:col>0</xdr:col>
      <xdr:colOff>190500</xdr:colOff>
      <xdr:row>7</xdr:row>
      <xdr:rowOff>133350</xdr:rowOff>
    </xdr:to>
    <xdr:sp macro="" textlink="">
      <xdr:nvSpPr>
        <xdr:cNvPr id="6" name="5 Combinar">
          <a:extLst>
            <a:ext uri="{FF2B5EF4-FFF2-40B4-BE49-F238E27FC236}">
              <a16:creationId xmlns:a16="http://schemas.microsoft.com/office/drawing/2014/main" id="{4D0ACA6C-FA2C-461A-8E90-A0D8F4537633}"/>
            </a:ext>
          </a:extLst>
        </xdr:cNvPr>
        <xdr:cNvSpPr/>
      </xdr:nvSpPr>
      <xdr:spPr>
        <a:xfrm>
          <a:off x="66675" y="13544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11</xdr:row>
      <xdr:rowOff>19051</xdr:rowOff>
    </xdr:from>
    <xdr:to>
      <xdr:col>2</xdr:col>
      <xdr:colOff>238125</xdr:colOff>
      <xdr:row>11</xdr:row>
      <xdr:rowOff>142875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7087EB35-ECCD-4679-A854-22439E7BFF12}"/>
            </a:ext>
          </a:extLst>
        </xdr:cNvPr>
        <xdr:cNvSpPr/>
      </xdr:nvSpPr>
      <xdr:spPr>
        <a:xfrm>
          <a:off x="6065520" y="2076451"/>
          <a:ext cx="238125" cy="12382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7620</xdr:colOff>
      <xdr:row>12</xdr:row>
      <xdr:rowOff>38100</xdr:rowOff>
    </xdr:from>
    <xdr:to>
      <xdr:col>2</xdr:col>
      <xdr:colOff>245745</xdr:colOff>
      <xdr:row>12</xdr:row>
      <xdr:rowOff>171450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E649501F-AA6E-4E2C-A3F1-17681D009231}"/>
            </a:ext>
          </a:extLst>
        </xdr:cNvPr>
        <xdr:cNvSpPr/>
      </xdr:nvSpPr>
      <xdr:spPr>
        <a:xfrm>
          <a:off x="6073140" y="2278380"/>
          <a:ext cx="238125" cy="1333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13</xdr:row>
      <xdr:rowOff>19050</xdr:rowOff>
    </xdr:from>
    <xdr:to>
      <xdr:col>2</xdr:col>
      <xdr:colOff>228600</xdr:colOff>
      <xdr:row>13</xdr:row>
      <xdr:rowOff>123825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3A870B41-CE3A-41B7-9173-29D536C5166D}"/>
            </a:ext>
          </a:extLst>
        </xdr:cNvPr>
        <xdr:cNvSpPr/>
      </xdr:nvSpPr>
      <xdr:spPr>
        <a:xfrm>
          <a:off x="6065520" y="2442210"/>
          <a:ext cx="228600" cy="104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14</xdr:row>
      <xdr:rowOff>38101</xdr:rowOff>
    </xdr:from>
    <xdr:to>
      <xdr:col>2</xdr:col>
      <xdr:colOff>228600</xdr:colOff>
      <xdr:row>14</xdr:row>
      <xdr:rowOff>133351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FDA7B100-92B0-4A6C-9A80-D8682836B8AB}"/>
            </a:ext>
          </a:extLst>
        </xdr:cNvPr>
        <xdr:cNvSpPr/>
      </xdr:nvSpPr>
      <xdr:spPr>
        <a:xfrm>
          <a:off x="6065520" y="2644141"/>
          <a:ext cx="228600" cy="9525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15</xdr:row>
      <xdr:rowOff>28575</xdr:rowOff>
    </xdr:from>
    <xdr:to>
      <xdr:col>2</xdr:col>
      <xdr:colOff>228600</xdr:colOff>
      <xdr:row>15</xdr:row>
      <xdr:rowOff>133350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3A8C3505-ED16-452B-964A-60161ABD77A2}"/>
            </a:ext>
          </a:extLst>
        </xdr:cNvPr>
        <xdr:cNvSpPr/>
      </xdr:nvSpPr>
      <xdr:spPr>
        <a:xfrm>
          <a:off x="6065520" y="2817495"/>
          <a:ext cx="228600" cy="104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16</xdr:row>
      <xdr:rowOff>19050</xdr:rowOff>
    </xdr:from>
    <xdr:to>
      <xdr:col>2</xdr:col>
      <xdr:colOff>247650</xdr:colOff>
      <xdr:row>16</xdr:row>
      <xdr:rowOff>133350</xdr:rowOff>
    </xdr:to>
    <xdr:sp macro="" textlink="">
      <xdr:nvSpPr>
        <xdr:cNvPr id="12" name="11 Elipse">
          <a:extLst>
            <a:ext uri="{FF2B5EF4-FFF2-40B4-BE49-F238E27FC236}">
              <a16:creationId xmlns:a16="http://schemas.microsoft.com/office/drawing/2014/main" id="{62AB9ED7-BFE5-4923-A03B-FDEAB9E79120}"/>
            </a:ext>
          </a:extLst>
        </xdr:cNvPr>
        <xdr:cNvSpPr/>
      </xdr:nvSpPr>
      <xdr:spPr>
        <a:xfrm>
          <a:off x="6065520" y="2990850"/>
          <a:ext cx="247650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17</xdr:row>
      <xdr:rowOff>28575</xdr:rowOff>
    </xdr:from>
    <xdr:to>
      <xdr:col>2</xdr:col>
      <xdr:colOff>238125</xdr:colOff>
      <xdr:row>17</xdr:row>
      <xdr:rowOff>133350</xdr:rowOff>
    </xdr:to>
    <xdr:sp macro="" textlink="">
      <xdr:nvSpPr>
        <xdr:cNvPr id="13" name="12 Elipse">
          <a:extLst>
            <a:ext uri="{FF2B5EF4-FFF2-40B4-BE49-F238E27FC236}">
              <a16:creationId xmlns:a16="http://schemas.microsoft.com/office/drawing/2014/main" id="{FAEA33C4-C6B2-4F20-988B-4C7F179A9B6C}"/>
            </a:ext>
          </a:extLst>
        </xdr:cNvPr>
        <xdr:cNvSpPr/>
      </xdr:nvSpPr>
      <xdr:spPr>
        <a:xfrm>
          <a:off x="6065520" y="3183255"/>
          <a:ext cx="238125" cy="104775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18</xdr:row>
      <xdr:rowOff>28576</xdr:rowOff>
    </xdr:from>
    <xdr:to>
      <xdr:col>2</xdr:col>
      <xdr:colOff>238125</xdr:colOff>
      <xdr:row>18</xdr:row>
      <xdr:rowOff>123826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AAD9A471-1B13-4E6F-951D-B885A958A332}"/>
            </a:ext>
          </a:extLst>
        </xdr:cNvPr>
        <xdr:cNvSpPr/>
      </xdr:nvSpPr>
      <xdr:spPr>
        <a:xfrm>
          <a:off x="6065520" y="3366136"/>
          <a:ext cx="238125" cy="95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19</xdr:row>
      <xdr:rowOff>47626</xdr:rowOff>
    </xdr:from>
    <xdr:to>
      <xdr:col>2</xdr:col>
      <xdr:colOff>228600</xdr:colOff>
      <xdr:row>19</xdr:row>
      <xdr:rowOff>142876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FE013B69-2B82-4A9A-9A2B-7E1D73793B07}"/>
            </a:ext>
          </a:extLst>
        </xdr:cNvPr>
        <xdr:cNvSpPr/>
      </xdr:nvSpPr>
      <xdr:spPr>
        <a:xfrm>
          <a:off x="6065520" y="3568066"/>
          <a:ext cx="228600" cy="9525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20</xdr:row>
      <xdr:rowOff>28575</xdr:rowOff>
    </xdr:from>
    <xdr:to>
      <xdr:col>2</xdr:col>
      <xdr:colOff>238125</xdr:colOff>
      <xdr:row>20</xdr:row>
      <xdr:rowOff>142875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DF2C2766-214F-4AAC-A3D2-CD866B51202E}"/>
            </a:ext>
          </a:extLst>
        </xdr:cNvPr>
        <xdr:cNvSpPr/>
      </xdr:nvSpPr>
      <xdr:spPr>
        <a:xfrm>
          <a:off x="6065520" y="3731895"/>
          <a:ext cx="2381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0</xdr:colOff>
      <xdr:row>21</xdr:row>
      <xdr:rowOff>28575</xdr:rowOff>
    </xdr:from>
    <xdr:to>
      <xdr:col>2</xdr:col>
      <xdr:colOff>228600</xdr:colOff>
      <xdr:row>21</xdr:row>
      <xdr:rowOff>142875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8E430783-2827-4E3B-95F4-7801E5C657F0}"/>
            </a:ext>
          </a:extLst>
        </xdr:cNvPr>
        <xdr:cNvSpPr/>
      </xdr:nvSpPr>
      <xdr:spPr>
        <a:xfrm>
          <a:off x="6065520" y="3914775"/>
          <a:ext cx="228600" cy="11430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28575</xdr:colOff>
      <xdr:row>11</xdr:row>
      <xdr:rowOff>47625</xdr:rowOff>
    </xdr:from>
    <xdr:to>
      <xdr:col>3</xdr:col>
      <xdr:colOff>238125</xdr:colOff>
      <xdr:row>11</xdr:row>
      <xdr:rowOff>133350</xdr:rowOff>
    </xdr:to>
    <xdr:sp macro="" textlink="">
      <xdr:nvSpPr>
        <xdr:cNvPr id="18" name="17 Flecha derecha">
          <a:extLst>
            <a:ext uri="{FF2B5EF4-FFF2-40B4-BE49-F238E27FC236}">
              <a16:creationId xmlns:a16="http://schemas.microsoft.com/office/drawing/2014/main" id="{7B413684-C3FC-46C9-8498-626DEAB7D4E2}"/>
            </a:ext>
          </a:extLst>
        </xdr:cNvPr>
        <xdr:cNvSpPr/>
      </xdr:nvSpPr>
      <xdr:spPr>
        <a:xfrm>
          <a:off x="6376035" y="210502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12</xdr:row>
      <xdr:rowOff>47625</xdr:rowOff>
    </xdr:from>
    <xdr:to>
      <xdr:col>3</xdr:col>
      <xdr:colOff>228600</xdr:colOff>
      <xdr:row>12</xdr:row>
      <xdr:rowOff>133350</xdr:rowOff>
    </xdr:to>
    <xdr:sp macro="" textlink="">
      <xdr:nvSpPr>
        <xdr:cNvPr id="19" name="18 Flecha derecha">
          <a:extLst>
            <a:ext uri="{FF2B5EF4-FFF2-40B4-BE49-F238E27FC236}">
              <a16:creationId xmlns:a16="http://schemas.microsoft.com/office/drawing/2014/main" id="{B0FBE293-D486-4FF4-8C4E-C8D60E07E2A9}"/>
            </a:ext>
          </a:extLst>
        </xdr:cNvPr>
        <xdr:cNvSpPr/>
      </xdr:nvSpPr>
      <xdr:spPr>
        <a:xfrm>
          <a:off x="6366510" y="228790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13</xdr:row>
      <xdr:rowOff>47625</xdr:rowOff>
    </xdr:from>
    <xdr:to>
      <xdr:col>3</xdr:col>
      <xdr:colOff>228600</xdr:colOff>
      <xdr:row>13</xdr:row>
      <xdr:rowOff>133350</xdr:rowOff>
    </xdr:to>
    <xdr:sp macro="" textlink="">
      <xdr:nvSpPr>
        <xdr:cNvPr id="20" name="19 Flecha derecha">
          <a:extLst>
            <a:ext uri="{FF2B5EF4-FFF2-40B4-BE49-F238E27FC236}">
              <a16:creationId xmlns:a16="http://schemas.microsoft.com/office/drawing/2014/main" id="{100A5E14-C59B-404F-9E96-9A9A5695F1BB}"/>
            </a:ext>
          </a:extLst>
        </xdr:cNvPr>
        <xdr:cNvSpPr/>
      </xdr:nvSpPr>
      <xdr:spPr>
        <a:xfrm>
          <a:off x="6366510" y="247078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14</xdr:row>
      <xdr:rowOff>47625</xdr:rowOff>
    </xdr:from>
    <xdr:to>
      <xdr:col>3</xdr:col>
      <xdr:colOff>228600</xdr:colOff>
      <xdr:row>14</xdr:row>
      <xdr:rowOff>133350</xdr:rowOff>
    </xdr:to>
    <xdr:sp macro="" textlink="">
      <xdr:nvSpPr>
        <xdr:cNvPr id="21" name="20 Flecha derecha">
          <a:extLst>
            <a:ext uri="{FF2B5EF4-FFF2-40B4-BE49-F238E27FC236}">
              <a16:creationId xmlns:a16="http://schemas.microsoft.com/office/drawing/2014/main" id="{6FF102D6-3275-4957-92D5-B20B234AB0B1}"/>
            </a:ext>
          </a:extLst>
        </xdr:cNvPr>
        <xdr:cNvSpPr/>
      </xdr:nvSpPr>
      <xdr:spPr>
        <a:xfrm>
          <a:off x="6366510" y="265366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15</xdr:row>
      <xdr:rowOff>47625</xdr:rowOff>
    </xdr:from>
    <xdr:to>
      <xdr:col>3</xdr:col>
      <xdr:colOff>228600</xdr:colOff>
      <xdr:row>15</xdr:row>
      <xdr:rowOff>133350</xdr:rowOff>
    </xdr:to>
    <xdr:sp macro="" textlink="">
      <xdr:nvSpPr>
        <xdr:cNvPr id="22" name="21 Flecha derecha">
          <a:extLst>
            <a:ext uri="{FF2B5EF4-FFF2-40B4-BE49-F238E27FC236}">
              <a16:creationId xmlns:a16="http://schemas.microsoft.com/office/drawing/2014/main" id="{DBCA70BD-CD73-4BCB-9F60-C46ACDECE3AB}"/>
            </a:ext>
          </a:extLst>
        </xdr:cNvPr>
        <xdr:cNvSpPr/>
      </xdr:nvSpPr>
      <xdr:spPr>
        <a:xfrm>
          <a:off x="6366510" y="283654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16</xdr:row>
      <xdr:rowOff>47625</xdr:rowOff>
    </xdr:from>
    <xdr:to>
      <xdr:col>3</xdr:col>
      <xdr:colOff>228600</xdr:colOff>
      <xdr:row>16</xdr:row>
      <xdr:rowOff>133350</xdr:rowOff>
    </xdr:to>
    <xdr:sp macro="" textlink="">
      <xdr:nvSpPr>
        <xdr:cNvPr id="23" name="22 Flecha derecha">
          <a:extLst>
            <a:ext uri="{FF2B5EF4-FFF2-40B4-BE49-F238E27FC236}">
              <a16:creationId xmlns:a16="http://schemas.microsoft.com/office/drawing/2014/main" id="{C6AC7EDA-125F-4FBC-9F25-FC4ECD8A2BA2}"/>
            </a:ext>
          </a:extLst>
        </xdr:cNvPr>
        <xdr:cNvSpPr/>
      </xdr:nvSpPr>
      <xdr:spPr>
        <a:xfrm>
          <a:off x="6366510" y="3019425"/>
          <a:ext cx="209550" cy="85725"/>
        </a:xfrm>
        <a:prstGeom prst="rightArrow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17</xdr:row>
      <xdr:rowOff>47625</xdr:rowOff>
    </xdr:from>
    <xdr:to>
      <xdr:col>3</xdr:col>
      <xdr:colOff>228600</xdr:colOff>
      <xdr:row>17</xdr:row>
      <xdr:rowOff>133350</xdr:rowOff>
    </xdr:to>
    <xdr:sp macro="" textlink="">
      <xdr:nvSpPr>
        <xdr:cNvPr id="24" name="23 Flecha derecha">
          <a:extLst>
            <a:ext uri="{FF2B5EF4-FFF2-40B4-BE49-F238E27FC236}">
              <a16:creationId xmlns:a16="http://schemas.microsoft.com/office/drawing/2014/main" id="{2D0C7886-C106-41C3-8246-BEA18CC67C01}"/>
            </a:ext>
          </a:extLst>
        </xdr:cNvPr>
        <xdr:cNvSpPr/>
      </xdr:nvSpPr>
      <xdr:spPr>
        <a:xfrm>
          <a:off x="6366510" y="320230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18</xdr:row>
      <xdr:rowOff>47625</xdr:rowOff>
    </xdr:from>
    <xdr:to>
      <xdr:col>3</xdr:col>
      <xdr:colOff>228600</xdr:colOff>
      <xdr:row>18</xdr:row>
      <xdr:rowOff>133350</xdr:rowOff>
    </xdr:to>
    <xdr:sp macro="" textlink="">
      <xdr:nvSpPr>
        <xdr:cNvPr id="25" name="24 Flecha derecha">
          <a:extLst>
            <a:ext uri="{FF2B5EF4-FFF2-40B4-BE49-F238E27FC236}">
              <a16:creationId xmlns:a16="http://schemas.microsoft.com/office/drawing/2014/main" id="{DF14CD0E-1FE7-455B-881D-11D7738FDC26}"/>
            </a:ext>
          </a:extLst>
        </xdr:cNvPr>
        <xdr:cNvSpPr/>
      </xdr:nvSpPr>
      <xdr:spPr>
        <a:xfrm>
          <a:off x="6366510" y="3385185"/>
          <a:ext cx="209550" cy="85725"/>
        </a:xfrm>
        <a:prstGeom prst="rightArrow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19</xdr:row>
      <xdr:rowOff>47625</xdr:rowOff>
    </xdr:from>
    <xdr:to>
      <xdr:col>3</xdr:col>
      <xdr:colOff>228600</xdr:colOff>
      <xdr:row>19</xdr:row>
      <xdr:rowOff>133350</xdr:rowOff>
    </xdr:to>
    <xdr:sp macro="" textlink="">
      <xdr:nvSpPr>
        <xdr:cNvPr id="26" name="25 Flecha derecha">
          <a:extLst>
            <a:ext uri="{FF2B5EF4-FFF2-40B4-BE49-F238E27FC236}">
              <a16:creationId xmlns:a16="http://schemas.microsoft.com/office/drawing/2014/main" id="{4058D2F1-C3AD-4BCA-A417-27D965C0D021}"/>
            </a:ext>
          </a:extLst>
        </xdr:cNvPr>
        <xdr:cNvSpPr/>
      </xdr:nvSpPr>
      <xdr:spPr>
        <a:xfrm>
          <a:off x="6366510" y="356806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20</xdr:row>
      <xdr:rowOff>47625</xdr:rowOff>
    </xdr:from>
    <xdr:to>
      <xdr:col>3</xdr:col>
      <xdr:colOff>228600</xdr:colOff>
      <xdr:row>20</xdr:row>
      <xdr:rowOff>133350</xdr:rowOff>
    </xdr:to>
    <xdr:sp macro="" textlink="">
      <xdr:nvSpPr>
        <xdr:cNvPr id="27" name="26 Flecha derecha">
          <a:extLst>
            <a:ext uri="{FF2B5EF4-FFF2-40B4-BE49-F238E27FC236}">
              <a16:creationId xmlns:a16="http://schemas.microsoft.com/office/drawing/2014/main" id="{BEDC4992-5428-427D-A73A-97E04CEC089F}"/>
            </a:ext>
          </a:extLst>
        </xdr:cNvPr>
        <xdr:cNvSpPr/>
      </xdr:nvSpPr>
      <xdr:spPr>
        <a:xfrm>
          <a:off x="6366510" y="375094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21</xdr:row>
      <xdr:rowOff>57150</xdr:rowOff>
    </xdr:from>
    <xdr:to>
      <xdr:col>3</xdr:col>
      <xdr:colOff>228600</xdr:colOff>
      <xdr:row>21</xdr:row>
      <xdr:rowOff>142875</xdr:rowOff>
    </xdr:to>
    <xdr:sp macro="" textlink="">
      <xdr:nvSpPr>
        <xdr:cNvPr id="28" name="27 Flecha derecha">
          <a:extLst>
            <a:ext uri="{FF2B5EF4-FFF2-40B4-BE49-F238E27FC236}">
              <a16:creationId xmlns:a16="http://schemas.microsoft.com/office/drawing/2014/main" id="{AC36062B-945A-4B21-80D4-C56E6F430232}"/>
            </a:ext>
          </a:extLst>
        </xdr:cNvPr>
        <xdr:cNvSpPr/>
      </xdr:nvSpPr>
      <xdr:spPr>
        <a:xfrm>
          <a:off x="6366510" y="394335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11</xdr:row>
      <xdr:rowOff>28575</xdr:rowOff>
    </xdr:from>
    <xdr:to>
      <xdr:col>4</xdr:col>
      <xdr:colOff>200024</xdr:colOff>
      <xdr:row>11</xdr:row>
      <xdr:rowOff>152399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id="{589EF21C-5D01-4E66-AD1F-DF7D7F292C6C}"/>
            </a:ext>
          </a:extLst>
        </xdr:cNvPr>
        <xdr:cNvSpPr/>
      </xdr:nvSpPr>
      <xdr:spPr>
        <a:xfrm>
          <a:off x="6747510" y="208597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12</xdr:row>
      <xdr:rowOff>28575</xdr:rowOff>
    </xdr:from>
    <xdr:to>
      <xdr:col>4</xdr:col>
      <xdr:colOff>200024</xdr:colOff>
      <xdr:row>12</xdr:row>
      <xdr:rowOff>152399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6102A376-DBD2-4BC8-9F7E-93407485E9F4}"/>
            </a:ext>
          </a:extLst>
        </xdr:cNvPr>
        <xdr:cNvSpPr/>
      </xdr:nvSpPr>
      <xdr:spPr>
        <a:xfrm>
          <a:off x="6747510" y="226885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13</xdr:row>
      <xdr:rowOff>28575</xdr:rowOff>
    </xdr:from>
    <xdr:to>
      <xdr:col>4</xdr:col>
      <xdr:colOff>200024</xdr:colOff>
      <xdr:row>13</xdr:row>
      <xdr:rowOff>152399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DAD434F0-7209-4B1E-A2ED-F02D88929369}"/>
            </a:ext>
          </a:extLst>
        </xdr:cNvPr>
        <xdr:cNvSpPr/>
      </xdr:nvSpPr>
      <xdr:spPr>
        <a:xfrm>
          <a:off x="6747510" y="245173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14</xdr:row>
      <xdr:rowOff>38100</xdr:rowOff>
    </xdr:from>
    <xdr:to>
      <xdr:col>4</xdr:col>
      <xdr:colOff>200024</xdr:colOff>
      <xdr:row>14</xdr:row>
      <xdr:rowOff>161924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id="{E302D5B8-62F2-4925-AC12-0F76DF970EA0}"/>
            </a:ext>
          </a:extLst>
        </xdr:cNvPr>
        <xdr:cNvSpPr/>
      </xdr:nvSpPr>
      <xdr:spPr>
        <a:xfrm>
          <a:off x="6747510" y="2644140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15</xdr:row>
      <xdr:rowOff>28575</xdr:rowOff>
    </xdr:from>
    <xdr:to>
      <xdr:col>4</xdr:col>
      <xdr:colOff>200024</xdr:colOff>
      <xdr:row>15</xdr:row>
      <xdr:rowOff>152399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id="{E265AE9A-AD68-4676-B3E0-61A62EEF6D53}"/>
            </a:ext>
          </a:extLst>
        </xdr:cNvPr>
        <xdr:cNvSpPr/>
      </xdr:nvSpPr>
      <xdr:spPr>
        <a:xfrm>
          <a:off x="6747510" y="281749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16</xdr:row>
      <xdr:rowOff>28575</xdr:rowOff>
    </xdr:from>
    <xdr:to>
      <xdr:col>4</xdr:col>
      <xdr:colOff>200024</xdr:colOff>
      <xdr:row>16</xdr:row>
      <xdr:rowOff>152399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id="{6F4B156D-CA97-4AC5-9432-47298ED119E7}"/>
            </a:ext>
          </a:extLst>
        </xdr:cNvPr>
        <xdr:cNvSpPr/>
      </xdr:nvSpPr>
      <xdr:spPr>
        <a:xfrm>
          <a:off x="6747510" y="300037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17</xdr:row>
      <xdr:rowOff>28575</xdr:rowOff>
    </xdr:from>
    <xdr:to>
      <xdr:col>4</xdr:col>
      <xdr:colOff>200024</xdr:colOff>
      <xdr:row>17</xdr:row>
      <xdr:rowOff>152399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id="{44A427D6-1263-48A6-AECD-8D8305BCBE67}"/>
            </a:ext>
          </a:extLst>
        </xdr:cNvPr>
        <xdr:cNvSpPr/>
      </xdr:nvSpPr>
      <xdr:spPr>
        <a:xfrm>
          <a:off x="6747510" y="318325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18</xdr:row>
      <xdr:rowOff>28575</xdr:rowOff>
    </xdr:from>
    <xdr:to>
      <xdr:col>4</xdr:col>
      <xdr:colOff>200024</xdr:colOff>
      <xdr:row>18</xdr:row>
      <xdr:rowOff>152399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id="{5C0626B5-B333-4876-851F-A5A98143B157}"/>
            </a:ext>
          </a:extLst>
        </xdr:cNvPr>
        <xdr:cNvSpPr/>
      </xdr:nvSpPr>
      <xdr:spPr>
        <a:xfrm>
          <a:off x="6747510" y="336613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19</xdr:row>
      <xdr:rowOff>28575</xdr:rowOff>
    </xdr:from>
    <xdr:to>
      <xdr:col>4</xdr:col>
      <xdr:colOff>200024</xdr:colOff>
      <xdr:row>19</xdr:row>
      <xdr:rowOff>152399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id="{52093D5B-469C-4C67-93EC-06831F4C0797}"/>
            </a:ext>
          </a:extLst>
        </xdr:cNvPr>
        <xdr:cNvSpPr/>
      </xdr:nvSpPr>
      <xdr:spPr>
        <a:xfrm>
          <a:off x="6747510" y="354901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20</xdr:row>
      <xdr:rowOff>28575</xdr:rowOff>
    </xdr:from>
    <xdr:to>
      <xdr:col>4</xdr:col>
      <xdr:colOff>200024</xdr:colOff>
      <xdr:row>20</xdr:row>
      <xdr:rowOff>152399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2D1DF96B-8D56-4F3E-9F57-8030A2F056F7}"/>
            </a:ext>
          </a:extLst>
        </xdr:cNvPr>
        <xdr:cNvSpPr/>
      </xdr:nvSpPr>
      <xdr:spPr>
        <a:xfrm>
          <a:off x="6747510" y="373189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21</xdr:row>
      <xdr:rowOff>28575</xdr:rowOff>
    </xdr:from>
    <xdr:to>
      <xdr:col>4</xdr:col>
      <xdr:colOff>200024</xdr:colOff>
      <xdr:row>21</xdr:row>
      <xdr:rowOff>152399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id="{1376012C-6E90-49AD-9251-BAF6935407CC}"/>
            </a:ext>
          </a:extLst>
        </xdr:cNvPr>
        <xdr:cNvSpPr/>
      </xdr:nvSpPr>
      <xdr:spPr>
        <a:xfrm>
          <a:off x="6747510" y="391477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11</xdr:row>
      <xdr:rowOff>47625</xdr:rowOff>
    </xdr:from>
    <xdr:to>
      <xdr:col>5</xdr:col>
      <xdr:colOff>238125</xdr:colOff>
      <xdr:row>11</xdr:row>
      <xdr:rowOff>171450</xdr:rowOff>
    </xdr:to>
    <xdr:sp macro="" textlink="">
      <xdr:nvSpPr>
        <xdr:cNvPr id="40" name="39 Retraso">
          <a:extLst>
            <a:ext uri="{FF2B5EF4-FFF2-40B4-BE49-F238E27FC236}">
              <a16:creationId xmlns:a16="http://schemas.microsoft.com/office/drawing/2014/main" id="{14959905-6B61-4ACE-A004-3260AD1DDDCA}"/>
            </a:ext>
          </a:extLst>
        </xdr:cNvPr>
        <xdr:cNvSpPr/>
      </xdr:nvSpPr>
      <xdr:spPr>
        <a:xfrm>
          <a:off x="7048501" y="210502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12</xdr:row>
      <xdr:rowOff>47625</xdr:rowOff>
    </xdr:from>
    <xdr:to>
      <xdr:col>5</xdr:col>
      <xdr:colOff>238125</xdr:colOff>
      <xdr:row>12</xdr:row>
      <xdr:rowOff>171450</xdr:rowOff>
    </xdr:to>
    <xdr:sp macro="" textlink="">
      <xdr:nvSpPr>
        <xdr:cNvPr id="41" name="40 Retraso">
          <a:extLst>
            <a:ext uri="{FF2B5EF4-FFF2-40B4-BE49-F238E27FC236}">
              <a16:creationId xmlns:a16="http://schemas.microsoft.com/office/drawing/2014/main" id="{CB7DBDCA-3655-4F0F-A76F-0E7D871B9490}"/>
            </a:ext>
          </a:extLst>
        </xdr:cNvPr>
        <xdr:cNvSpPr/>
      </xdr:nvSpPr>
      <xdr:spPr>
        <a:xfrm>
          <a:off x="7048501" y="228790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13</xdr:row>
      <xdr:rowOff>47625</xdr:rowOff>
    </xdr:from>
    <xdr:to>
      <xdr:col>5</xdr:col>
      <xdr:colOff>238125</xdr:colOff>
      <xdr:row>13</xdr:row>
      <xdr:rowOff>171450</xdr:rowOff>
    </xdr:to>
    <xdr:sp macro="" textlink="">
      <xdr:nvSpPr>
        <xdr:cNvPr id="42" name="41 Retraso">
          <a:extLst>
            <a:ext uri="{FF2B5EF4-FFF2-40B4-BE49-F238E27FC236}">
              <a16:creationId xmlns:a16="http://schemas.microsoft.com/office/drawing/2014/main" id="{3C6D4B64-BF5E-4859-9FBA-D07C8C93FA17}"/>
            </a:ext>
          </a:extLst>
        </xdr:cNvPr>
        <xdr:cNvSpPr/>
      </xdr:nvSpPr>
      <xdr:spPr>
        <a:xfrm>
          <a:off x="7048501" y="247078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14</xdr:row>
      <xdr:rowOff>47625</xdr:rowOff>
    </xdr:from>
    <xdr:to>
      <xdr:col>5</xdr:col>
      <xdr:colOff>238125</xdr:colOff>
      <xdr:row>14</xdr:row>
      <xdr:rowOff>171450</xdr:rowOff>
    </xdr:to>
    <xdr:sp macro="" textlink="">
      <xdr:nvSpPr>
        <xdr:cNvPr id="43" name="42 Retraso">
          <a:extLst>
            <a:ext uri="{FF2B5EF4-FFF2-40B4-BE49-F238E27FC236}">
              <a16:creationId xmlns:a16="http://schemas.microsoft.com/office/drawing/2014/main" id="{42501FD1-CB9C-49E3-8091-364E8BB9CD73}"/>
            </a:ext>
          </a:extLst>
        </xdr:cNvPr>
        <xdr:cNvSpPr/>
      </xdr:nvSpPr>
      <xdr:spPr>
        <a:xfrm>
          <a:off x="7048501" y="265366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15</xdr:row>
      <xdr:rowOff>47625</xdr:rowOff>
    </xdr:from>
    <xdr:to>
      <xdr:col>5</xdr:col>
      <xdr:colOff>238125</xdr:colOff>
      <xdr:row>15</xdr:row>
      <xdr:rowOff>171450</xdr:rowOff>
    </xdr:to>
    <xdr:sp macro="" textlink="">
      <xdr:nvSpPr>
        <xdr:cNvPr id="44" name="43 Retraso">
          <a:extLst>
            <a:ext uri="{FF2B5EF4-FFF2-40B4-BE49-F238E27FC236}">
              <a16:creationId xmlns:a16="http://schemas.microsoft.com/office/drawing/2014/main" id="{B1D7CB9C-1928-4F01-A3A0-CFE0F081F7E5}"/>
            </a:ext>
          </a:extLst>
        </xdr:cNvPr>
        <xdr:cNvSpPr/>
      </xdr:nvSpPr>
      <xdr:spPr>
        <a:xfrm>
          <a:off x="7048501" y="283654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16</xdr:row>
      <xdr:rowOff>47625</xdr:rowOff>
    </xdr:from>
    <xdr:to>
      <xdr:col>5</xdr:col>
      <xdr:colOff>238125</xdr:colOff>
      <xdr:row>16</xdr:row>
      <xdr:rowOff>171450</xdr:rowOff>
    </xdr:to>
    <xdr:sp macro="" textlink="">
      <xdr:nvSpPr>
        <xdr:cNvPr id="45" name="44 Retraso">
          <a:extLst>
            <a:ext uri="{FF2B5EF4-FFF2-40B4-BE49-F238E27FC236}">
              <a16:creationId xmlns:a16="http://schemas.microsoft.com/office/drawing/2014/main" id="{C934AA96-7E4F-4DE5-B1D2-4A5286DAEFE3}"/>
            </a:ext>
          </a:extLst>
        </xdr:cNvPr>
        <xdr:cNvSpPr/>
      </xdr:nvSpPr>
      <xdr:spPr>
        <a:xfrm>
          <a:off x="7048501" y="301942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16</xdr:row>
      <xdr:rowOff>47625</xdr:rowOff>
    </xdr:from>
    <xdr:to>
      <xdr:col>5</xdr:col>
      <xdr:colOff>238125</xdr:colOff>
      <xdr:row>16</xdr:row>
      <xdr:rowOff>171450</xdr:rowOff>
    </xdr:to>
    <xdr:sp macro="" textlink="">
      <xdr:nvSpPr>
        <xdr:cNvPr id="46" name="45 Retraso">
          <a:extLst>
            <a:ext uri="{FF2B5EF4-FFF2-40B4-BE49-F238E27FC236}">
              <a16:creationId xmlns:a16="http://schemas.microsoft.com/office/drawing/2014/main" id="{3F7452CA-DB96-4E45-BF21-CC0C6DF60F9F}"/>
            </a:ext>
          </a:extLst>
        </xdr:cNvPr>
        <xdr:cNvSpPr/>
      </xdr:nvSpPr>
      <xdr:spPr>
        <a:xfrm>
          <a:off x="7048501" y="301942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17</xdr:row>
      <xdr:rowOff>47625</xdr:rowOff>
    </xdr:from>
    <xdr:to>
      <xdr:col>5</xdr:col>
      <xdr:colOff>238125</xdr:colOff>
      <xdr:row>17</xdr:row>
      <xdr:rowOff>171450</xdr:rowOff>
    </xdr:to>
    <xdr:sp macro="" textlink="">
      <xdr:nvSpPr>
        <xdr:cNvPr id="47" name="46 Retraso">
          <a:extLst>
            <a:ext uri="{FF2B5EF4-FFF2-40B4-BE49-F238E27FC236}">
              <a16:creationId xmlns:a16="http://schemas.microsoft.com/office/drawing/2014/main" id="{8DAA6147-E84D-431C-8A01-01861249324D}"/>
            </a:ext>
          </a:extLst>
        </xdr:cNvPr>
        <xdr:cNvSpPr/>
      </xdr:nvSpPr>
      <xdr:spPr>
        <a:xfrm>
          <a:off x="7048501" y="320230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18</xdr:row>
      <xdr:rowOff>47625</xdr:rowOff>
    </xdr:from>
    <xdr:to>
      <xdr:col>5</xdr:col>
      <xdr:colOff>238125</xdr:colOff>
      <xdr:row>18</xdr:row>
      <xdr:rowOff>171450</xdr:rowOff>
    </xdr:to>
    <xdr:sp macro="" textlink="">
      <xdr:nvSpPr>
        <xdr:cNvPr id="48" name="47 Retraso">
          <a:extLst>
            <a:ext uri="{FF2B5EF4-FFF2-40B4-BE49-F238E27FC236}">
              <a16:creationId xmlns:a16="http://schemas.microsoft.com/office/drawing/2014/main" id="{BE33BC0E-397C-4C57-BB5A-A9CB82856DA3}"/>
            </a:ext>
          </a:extLst>
        </xdr:cNvPr>
        <xdr:cNvSpPr/>
      </xdr:nvSpPr>
      <xdr:spPr>
        <a:xfrm>
          <a:off x="7048501" y="338518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19</xdr:row>
      <xdr:rowOff>47625</xdr:rowOff>
    </xdr:from>
    <xdr:to>
      <xdr:col>5</xdr:col>
      <xdr:colOff>238125</xdr:colOff>
      <xdr:row>19</xdr:row>
      <xdr:rowOff>171450</xdr:rowOff>
    </xdr:to>
    <xdr:sp macro="" textlink="">
      <xdr:nvSpPr>
        <xdr:cNvPr id="49" name="48 Retraso">
          <a:extLst>
            <a:ext uri="{FF2B5EF4-FFF2-40B4-BE49-F238E27FC236}">
              <a16:creationId xmlns:a16="http://schemas.microsoft.com/office/drawing/2014/main" id="{E5A801A0-DF78-4A09-8C6B-C5E6CA7AA262}"/>
            </a:ext>
          </a:extLst>
        </xdr:cNvPr>
        <xdr:cNvSpPr/>
      </xdr:nvSpPr>
      <xdr:spPr>
        <a:xfrm>
          <a:off x="7048501" y="356806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20</xdr:row>
      <xdr:rowOff>47625</xdr:rowOff>
    </xdr:from>
    <xdr:to>
      <xdr:col>5</xdr:col>
      <xdr:colOff>238125</xdr:colOff>
      <xdr:row>20</xdr:row>
      <xdr:rowOff>171450</xdr:rowOff>
    </xdr:to>
    <xdr:sp macro="" textlink="">
      <xdr:nvSpPr>
        <xdr:cNvPr id="50" name="49 Retraso">
          <a:extLst>
            <a:ext uri="{FF2B5EF4-FFF2-40B4-BE49-F238E27FC236}">
              <a16:creationId xmlns:a16="http://schemas.microsoft.com/office/drawing/2014/main" id="{7BCFD1A5-D6FC-4B9F-ACE0-89870BFAB198}"/>
            </a:ext>
          </a:extLst>
        </xdr:cNvPr>
        <xdr:cNvSpPr/>
      </xdr:nvSpPr>
      <xdr:spPr>
        <a:xfrm>
          <a:off x="7048501" y="375094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76201</xdr:colOff>
      <xdr:row>21</xdr:row>
      <xdr:rowOff>47625</xdr:rowOff>
    </xdr:from>
    <xdr:to>
      <xdr:col>5</xdr:col>
      <xdr:colOff>238125</xdr:colOff>
      <xdr:row>21</xdr:row>
      <xdr:rowOff>171450</xdr:rowOff>
    </xdr:to>
    <xdr:sp macro="" textlink="">
      <xdr:nvSpPr>
        <xdr:cNvPr id="51" name="50 Retraso">
          <a:extLst>
            <a:ext uri="{FF2B5EF4-FFF2-40B4-BE49-F238E27FC236}">
              <a16:creationId xmlns:a16="http://schemas.microsoft.com/office/drawing/2014/main" id="{63CFA711-B104-4BDA-A067-6AFCD490C3D4}"/>
            </a:ext>
          </a:extLst>
        </xdr:cNvPr>
        <xdr:cNvSpPr/>
      </xdr:nvSpPr>
      <xdr:spPr>
        <a:xfrm>
          <a:off x="7048501" y="393382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2" name="51 Combinar">
          <a:extLst>
            <a:ext uri="{FF2B5EF4-FFF2-40B4-BE49-F238E27FC236}">
              <a16:creationId xmlns:a16="http://schemas.microsoft.com/office/drawing/2014/main" id="{20A2B0E6-53C4-4BC8-B656-46020F3E43F6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3" name="52 Combinar">
          <a:extLst>
            <a:ext uri="{FF2B5EF4-FFF2-40B4-BE49-F238E27FC236}">
              <a16:creationId xmlns:a16="http://schemas.microsoft.com/office/drawing/2014/main" id="{34F490AD-9AD6-41C2-847B-EF057366D759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4" name="53 Combinar">
          <a:extLst>
            <a:ext uri="{FF2B5EF4-FFF2-40B4-BE49-F238E27FC236}">
              <a16:creationId xmlns:a16="http://schemas.microsoft.com/office/drawing/2014/main" id="{936416F9-4E92-4EB3-AE6D-C38FDAFA1A33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5" name="54 Combinar">
          <a:extLst>
            <a:ext uri="{FF2B5EF4-FFF2-40B4-BE49-F238E27FC236}">
              <a16:creationId xmlns:a16="http://schemas.microsoft.com/office/drawing/2014/main" id="{8A310A52-34B6-4CF8-A44F-CCF51F028220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6" name="55 Combinar">
          <a:extLst>
            <a:ext uri="{FF2B5EF4-FFF2-40B4-BE49-F238E27FC236}">
              <a16:creationId xmlns:a16="http://schemas.microsoft.com/office/drawing/2014/main" id="{01F1F03B-0351-4307-ACB3-EAFAB7D54019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57" name="56 Combinar">
          <a:extLst>
            <a:ext uri="{FF2B5EF4-FFF2-40B4-BE49-F238E27FC236}">
              <a16:creationId xmlns:a16="http://schemas.microsoft.com/office/drawing/2014/main" id="{0B83202C-94B8-41D0-B0FF-557751978F93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58" name="57 Combinar">
          <a:extLst>
            <a:ext uri="{FF2B5EF4-FFF2-40B4-BE49-F238E27FC236}">
              <a16:creationId xmlns:a16="http://schemas.microsoft.com/office/drawing/2014/main" id="{A8632996-42E7-425B-A9BA-55C81A5D4D26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59" name="58 Combinar">
          <a:extLst>
            <a:ext uri="{FF2B5EF4-FFF2-40B4-BE49-F238E27FC236}">
              <a16:creationId xmlns:a16="http://schemas.microsoft.com/office/drawing/2014/main" id="{5AF98576-3626-4134-9467-C707BE0139DF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0" name="59 Combinar">
          <a:extLst>
            <a:ext uri="{FF2B5EF4-FFF2-40B4-BE49-F238E27FC236}">
              <a16:creationId xmlns:a16="http://schemas.microsoft.com/office/drawing/2014/main" id="{3548F1A1-2056-4662-AD90-939C8CECA869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61" name="60 Combinar">
          <a:extLst>
            <a:ext uri="{FF2B5EF4-FFF2-40B4-BE49-F238E27FC236}">
              <a16:creationId xmlns:a16="http://schemas.microsoft.com/office/drawing/2014/main" id="{47448FE6-1C24-425B-9DE9-387B5BED861D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62" name="61 Combinar">
          <a:extLst>
            <a:ext uri="{FF2B5EF4-FFF2-40B4-BE49-F238E27FC236}">
              <a16:creationId xmlns:a16="http://schemas.microsoft.com/office/drawing/2014/main" id="{213C983E-4638-449E-BEF5-36F9E16DEF6D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3" name="62 Combinar">
          <a:extLst>
            <a:ext uri="{FF2B5EF4-FFF2-40B4-BE49-F238E27FC236}">
              <a16:creationId xmlns:a16="http://schemas.microsoft.com/office/drawing/2014/main" id="{08134E77-7C57-49CC-B1FE-F849D168621A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64" name="63 Combinar">
          <a:extLst>
            <a:ext uri="{FF2B5EF4-FFF2-40B4-BE49-F238E27FC236}">
              <a16:creationId xmlns:a16="http://schemas.microsoft.com/office/drawing/2014/main" id="{353ECF26-A0AA-4F35-B2A5-5C741916C622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65" name="64 Combinar">
          <a:extLst>
            <a:ext uri="{FF2B5EF4-FFF2-40B4-BE49-F238E27FC236}">
              <a16:creationId xmlns:a16="http://schemas.microsoft.com/office/drawing/2014/main" id="{F3513BBC-88DA-4E45-A349-49106BBCAD1D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66" name="65 Combinar">
          <a:extLst>
            <a:ext uri="{FF2B5EF4-FFF2-40B4-BE49-F238E27FC236}">
              <a16:creationId xmlns:a16="http://schemas.microsoft.com/office/drawing/2014/main" id="{F8446494-5CB0-4E41-9700-BAC8C8571391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67" name="66 Combinar">
          <a:extLst>
            <a:ext uri="{FF2B5EF4-FFF2-40B4-BE49-F238E27FC236}">
              <a16:creationId xmlns:a16="http://schemas.microsoft.com/office/drawing/2014/main" id="{022C3824-91E8-437E-BB6F-5128DE4BA1FF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68" name="67 Combinar">
          <a:extLst>
            <a:ext uri="{FF2B5EF4-FFF2-40B4-BE49-F238E27FC236}">
              <a16:creationId xmlns:a16="http://schemas.microsoft.com/office/drawing/2014/main" id="{7E87625F-5957-4B25-A74C-C646ABF80ADF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69" name="68 Combinar">
          <a:extLst>
            <a:ext uri="{FF2B5EF4-FFF2-40B4-BE49-F238E27FC236}">
              <a16:creationId xmlns:a16="http://schemas.microsoft.com/office/drawing/2014/main" id="{CC191D8E-188B-4A44-9154-FCBB36A83864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70" name="69 Combinar">
          <a:extLst>
            <a:ext uri="{FF2B5EF4-FFF2-40B4-BE49-F238E27FC236}">
              <a16:creationId xmlns:a16="http://schemas.microsoft.com/office/drawing/2014/main" id="{7F9D2800-0BAB-43A4-AD66-D3DB3CC846C7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71" name="70 Combinar">
          <a:extLst>
            <a:ext uri="{FF2B5EF4-FFF2-40B4-BE49-F238E27FC236}">
              <a16:creationId xmlns:a16="http://schemas.microsoft.com/office/drawing/2014/main" id="{59545C01-0633-46EB-AC77-EFFB5FF197C4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72" name="71 Combinar">
          <a:extLst>
            <a:ext uri="{FF2B5EF4-FFF2-40B4-BE49-F238E27FC236}">
              <a16:creationId xmlns:a16="http://schemas.microsoft.com/office/drawing/2014/main" id="{A63561E6-B895-4591-A6C5-FB79C2154FCB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73" name="72 Combinar">
          <a:extLst>
            <a:ext uri="{FF2B5EF4-FFF2-40B4-BE49-F238E27FC236}">
              <a16:creationId xmlns:a16="http://schemas.microsoft.com/office/drawing/2014/main" id="{C13E10D2-2F9B-48F2-B175-C189A68AE6A5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74" name="73 Combinar">
          <a:extLst>
            <a:ext uri="{FF2B5EF4-FFF2-40B4-BE49-F238E27FC236}">
              <a16:creationId xmlns:a16="http://schemas.microsoft.com/office/drawing/2014/main" id="{245E791C-683D-441B-AD03-AC3149F9453E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75" name="74 Combinar">
          <a:extLst>
            <a:ext uri="{FF2B5EF4-FFF2-40B4-BE49-F238E27FC236}">
              <a16:creationId xmlns:a16="http://schemas.microsoft.com/office/drawing/2014/main" id="{FC0DA9E5-042F-486A-BD71-414E01061389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76" name="75 Combinar">
          <a:extLst>
            <a:ext uri="{FF2B5EF4-FFF2-40B4-BE49-F238E27FC236}">
              <a16:creationId xmlns:a16="http://schemas.microsoft.com/office/drawing/2014/main" id="{23709BD3-F5E4-4A64-ACC7-2E6BD93A16FC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77" name="76 Combinar">
          <a:extLst>
            <a:ext uri="{FF2B5EF4-FFF2-40B4-BE49-F238E27FC236}">
              <a16:creationId xmlns:a16="http://schemas.microsoft.com/office/drawing/2014/main" id="{2782BD1E-2244-4F28-9252-9652CEF93CE3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78" name="77 Combinar">
          <a:extLst>
            <a:ext uri="{FF2B5EF4-FFF2-40B4-BE49-F238E27FC236}">
              <a16:creationId xmlns:a16="http://schemas.microsoft.com/office/drawing/2014/main" id="{7F1C66C7-FF7C-4E7B-AB12-A98CCF6D6526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79" name="78 Combinar">
          <a:extLst>
            <a:ext uri="{FF2B5EF4-FFF2-40B4-BE49-F238E27FC236}">
              <a16:creationId xmlns:a16="http://schemas.microsoft.com/office/drawing/2014/main" id="{2681F2E2-BB26-409B-9CE6-A5AA1DD281BF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80" name="79 Combinar">
          <a:extLst>
            <a:ext uri="{FF2B5EF4-FFF2-40B4-BE49-F238E27FC236}">
              <a16:creationId xmlns:a16="http://schemas.microsoft.com/office/drawing/2014/main" id="{D07F40DF-2BE8-40FC-92B8-16AB893A529C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81" name="80 Combinar">
          <a:extLst>
            <a:ext uri="{FF2B5EF4-FFF2-40B4-BE49-F238E27FC236}">
              <a16:creationId xmlns:a16="http://schemas.microsoft.com/office/drawing/2014/main" id="{530A0897-016E-42AB-B8ED-CC1728646E4A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82" name="81 Combinar">
          <a:extLst>
            <a:ext uri="{FF2B5EF4-FFF2-40B4-BE49-F238E27FC236}">
              <a16:creationId xmlns:a16="http://schemas.microsoft.com/office/drawing/2014/main" id="{8CFF88DA-8925-485A-ABC0-4083F3017D5F}"/>
            </a:ext>
          </a:extLst>
        </xdr:cNvPr>
        <xdr:cNvSpPr/>
      </xdr:nvSpPr>
      <xdr:spPr>
        <a:xfrm>
          <a:off x="7351395" y="31832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83" name="82 Combinar">
          <a:extLst>
            <a:ext uri="{FF2B5EF4-FFF2-40B4-BE49-F238E27FC236}">
              <a16:creationId xmlns:a16="http://schemas.microsoft.com/office/drawing/2014/main" id="{6C440B64-59F6-4E46-9F5A-EAD8371BAB16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84" name="83 Combinar">
          <a:extLst>
            <a:ext uri="{FF2B5EF4-FFF2-40B4-BE49-F238E27FC236}">
              <a16:creationId xmlns:a16="http://schemas.microsoft.com/office/drawing/2014/main" id="{6B50BA3E-F89C-4C03-9985-D7A4DD60F80A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85" name="84 Combinar">
          <a:extLst>
            <a:ext uri="{FF2B5EF4-FFF2-40B4-BE49-F238E27FC236}">
              <a16:creationId xmlns:a16="http://schemas.microsoft.com/office/drawing/2014/main" id="{27A0B358-529C-41AC-8E5D-DC970FFFE0F1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86" name="85 Combinar">
          <a:extLst>
            <a:ext uri="{FF2B5EF4-FFF2-40B4-BE49-F238E27FC236}">
              <a16:creationId xmlns:a16="http://schemas.microsoft.com/office/drawing/2014/main" id="{1600BACE-CBF0-4178-895F-8428037D2F39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87" name="86 Combinar">
          <a:extLst>
            <a:ext uri="{FF2B5EF4-FFF2-40B4-BE49-F238E27FC236}">
              <a16:creationId xmlns:a16="http://schemas.microsoft.com/office/drawing/2014/main" id="{329FFBC0-2EBB-4454-85F5-F735A2EF95AE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88" name="87 Combinar">
          <a:extLst>
            <a:ext uri="{FF2B5EF4-FFF2-40B4-BE49-F238E27FC236}">
              <a16:creationId xmlns:a16="http://schemas.microsoft.com/office/drawing/2014/main" id="{6CA1A6B1-650C-4FFC-BECC-8C1E86C988D1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89" name="88 Combinar">
          <a:extLst>
            <a:ext uri="{FF2B5EF4-FFF2-40B4-BE49-F238E27FC236}">
              <a16:creationId xmlns:a16="http://schemas.microsoft.com/office/drawing/2014/main" id="{771EBD89-568B-4D56-BC83-32E94A27035F}"/>
            </a:ext>
          </a:extLst>
        </xdr:cNvPr>
        <xdr:cNvSpPr/>
      </xdr:nvSpPr>
      <xdr:spPr>
        <a:xfrm>
          <a:off x="7351395" y="31832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90" name="89 Combinar">
          <a:extLst>
            <a:ext uri="{FF2B5EF4-FFF2-40B4-BE49-F238E27FC236}">
              <a16:creationId xmlns:a16="http://schemas.microsoft.com/office/drawing/2014/main" id="{4DF8D8C8-9CA9-4AA1-B8F0-E9F15A714DD4}"/>
            </a:ext>
          </a:extLst>
        </xdr:cNvPr>
        <xdr:cNvSpPr/>
      </xdr:nvSpPr>
      <xdr:spPr>
        <a:xfrm>
          <a:off x="7351395" y="33661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91" name="90 Combinar">
          <a:extLst>
            <a:ext uri="{FF2B5EF4-FFF2-40B4-BE49-F238E27FC236}">
              <a16:creationId xmlns:a16="http://schemas.microsoft.com/office/drawing/2014/main" id="{874E905B-FF9B-41B9-AE9C-FF3EBF99BE2C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92" name="91 Combinar">
          <a:extLst>
            <a:ext uri="{FF2B5EF4-FFF2-40B4-BE49-F238E27FC236}">
              <a16:creationId xmlns:a16="http://schemas.microsoft.com/office/drawing/2014/main" id="{E4CDEE86-2E83-4FDC-9695-6C5429B6D0B3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93" name="92 Combinar">
          <a:extLst>
            <a:ext uri="{FF2B5EF4-FFF2-40B4-BE49-F238E27FC236}">
              <a16:creationId xmlns:a16="http://schemas.microsoft.com/office/drawing/2014/main" id="{6AF5DA62-8747-4052-A6C1-69D05F8F924E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94" name="93 Combinar">
          <a:extLst>
            <a:ext uri="{FF2B5EF4-FFF2-40B4-BE49-F238E27FC236}">
              <a16:creationId xmlns:a16="http://schemas.microsoft.com/office/drawing/2014/main" id="{253FEA23-F5E0-4B82-B7B3-4EB48AD0C8E2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95" name="94 Combinar">
          <a:extLst>
            <a:ext uri="{FF2B5EF4-FFF2-40B4-BE49-F238E27FC236}">
              <a16:creationId xmlns:a16="http://schemas.microsoft.com/office/drawing/2014/main" id="{C6C3D49E-CF87-4AD6-A006-C388C42252C1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96" name="95 Combinar">
          <a:extLst>
            <a:ext uri="{FF2B5EF4-FFF2-40B4-BE49-F238E27FC236}">
              <a16:creationId xmlns:a16="http://schemas.microsoft.com/office/drawing/2014/main" id="{B4721A00-B643-4423-9619-C41BE7D997E9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97" name="96 Combinar">
          <a:extLst>
            <a:ext uri="{FF2B5EF4-FFF2-40B4-BE49-F238E27FC236}">
              <a16:creationId xmlns:a16="http://schemas.microsoft.com/office/drawing/2014/main" id="{26FDB379-98BE-457F-ADAE-DFD500EA6975}"/>
            </a:ext>
          </a:extLst>
        </xdr:cNvPr>
        <xdr:cNvSpPr/>
      </xdr:nvSpPr>
      <xdr:spPr>
        <a:xfrm>
          <a:off x="7351395" y="31832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98" name="97 Combinar">
          <a:extLst>
            <a:ext uri="{FF2B5EF4-FFF2-40B4-BE49-F238E27FC236}">
              <a16:creationId xmlns:a16="http://schemas.microsoft.com/office/drawing/2014/main" id="{872AB50A-2CB8-44B7-BB2F-1597DB73C49E}"/>
            </a:ext>
          </a:extLst>
        </xdr:cNvPr>
        <xdr:cNvSpPr/>
      </xdr:nvSpPr>
      <xdr:spPr>
        <a:xfrm>
          <a:off x="7351395" y="33661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19</xdr:row>
      <xdr:rowOff>28575</xdr:rowOff>
    </xdr:from>
    <xdr:to>
      <xdr:col>6</xdr:col>
      <xdr:colOff>190500</xdr:colOff>
      <xdr:row>19</xdr:row>
      <xdr:rowOff>133350</xdr:rowOff>
    </xdr:to>
    <xdr:sp macro="" textlink="">
      <xdr:nvSpPr>
        <xdr:cNvPr id="99" name="98 Combinar">
          <a:extLst>
            <a:ext uri="{FF2B5EF4-FFF2-40B4-BE49-F238E27FC236}">
              <a16:creationId xmlns:a16="http://schemas.microsoft.com/office/drawing/2014/main" id="{69A0A6E4-5AFD-43EB-883D-F2DA34AAB62E}"/>
            </a:ext>
          </a:extLst>
        </xdr:cNvPr>
        <xdr:cNvSpPr/>
      </xdr:nvSpPr>
      <xdr:spPr>
        <a:xfrm>
          <a:off x="7351395" y="35490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100" name="99 Combinar">
          <a:extLst>
            <a:ext uri="{FF2B5EF4-FFF2-40B4-BE49-F238E27FC236}">
              <a16:creationId xmlns:a16="http://schemas.microsoft.com/office/drawing/2014/main" id="{F7EF6D9E-66D6-4E40-AA62-C75FBB941487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101" name="100 Combinar">
          <a:extLst>
            <a:ext uri="{FF2B5EF4-FFF2-40B4-BE49-F238E27FC236}">
              <a16:creationId xmlns:a16="http://schemas.microsoft.com/office/drawing/2014/main" id="{8B59BFAB-7311-4C60-89AB-D8F309C0CCA5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102" name="101 Combinar">
          <a:extLst>
            <a:ext uri="{FF2B5EF4-FFF2-40B4-BE49-F238E27FC236}">
              <a16:creationId xmlns:a16="http://schemas.microsoft.com/office/drawing/2014/main" id="{84ECBD1F-A347-4564-9702-4B885CAA1A35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103" name="102 Combinar">
          <a:extLst>
            <a:ext uri="{FF2B5EF4-FFF2-40B4-BE49-F238E27FC236}">
              <a16:creationId xmlns:a16="http://schemas.microsoft.com/office/drawing/2014/main" id="{32FE80DF-07F0-48EA-AA90-74B413558B6B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104" name="103 Combinar">
          <a:extLst>
            <a:ext uri="{FF2B5EF4-FFF2-40B4-BE49-F238E27FC236}">
              <a16:creationId xmlns:a16="http://schemas.microsoft.com/office/drawing/2014/main" id="{BF5E88AA-C70C-44D7-9C18-A9C7FA845B20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105" name="104 Combinar">
          <a:extLst>
            <a:ext uri="{FF2B5EF4-FFF2-40B4-BE49-F238E27FC236}">
              <a16:creationId xmlns:a16="http://schemas.microsoft.com/office/drawing/2014/main" id="{2674B83E-C47A-4C0C-9C04-FF146C3E9845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106" name="105 Combinar">
          <a:extLst>
            <a:ext uri="{FF2B5EF4-FFF2-40B4-BE49-F238E27FC236}">
              <a16:creationId xmlns:a16="http://schemas.microsoft.com/office/drawing/2014/main" id="{397EACDF-891E-4013-BE6C-D6B67621DD78}"/>
            </a:ext>
          </a:extLst>
        </xdr:cNvPr>
        <xdr:cNvSpPr/>
      </xdr:nvSpPr>
      <xdr:spPr>
        <a:xfrm>
          <a:off x="7351395" y="31832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107" name="106 Combinar">
          <a:extLst>
            <a:ext uri="{FF2B5EF4-FFF2-40B4-BE49-F238E27FC236}">
              <a16:creationId xmlns:a16="http://schemas.microsoft.com/office/drawing/2014/main" id="{A6B378C8-0641-45D4-BFC2-E6E455301571}"/>
            </a:ext>
          </a:extLst>
        </xdr:cNvPr>
        <xdr:cNvSpPr/>
      </xdr:nvSpPr>
      <xdr:spPr>
        <a:xfrm>
          <a:off x="7351395" y="33661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19</xdr:row>
      <xdr:rowOff>28575</xdr:rowOff>
    </xdr:from>
    <xdr:to>
      <xdr:col>6</xdr:col>
      <xdr:colOff>190500</xdr:colOff>
      <xdr:row>19</xdr:row>
      <xdr:rowOff>133350</xdr:rowOff>
    </xdr:to>
    <xdr:sp macro="" textlink="">
      <xdr:nvSpPr>
        <xdr:cNvPr id="108" name="107 Combinar">
          <a:extLst>
            <a:ext uri="{FF2B5EF4-FFF2-40B4-BE49-F238E27FC236}">
              <a16:creationId xmlns:a16="http://schemas.microsoft.com/office/drawing/2014/main" id="{24B7FDFE-8EE8-412B-86DB-F33CD6E5A2EE}"/>
            </a:ext>
          </a:extLst>
        </xdr:cNvPr>
        <xdr:cNvSpPr/>
      </xdr:nvSpPr>
      <xdr:spPr>
        <a:xfrm>
          <a:off x="7351395" y="35490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20</xdr:row>
      <xdr:rowOff>28575</xdr:rowOff>
    </xdr:from>
    <xdr:to>
      <xdr:col>6</xdr:col>
      <xdr:colOff>190500</xdr:colOff>
      <xdr:row>20</xdr:row>
      <xdr:rowOff>133350</xdr:rowOff>
    </xdr:to>
    <xdr:sp macro="" textlink="">
      <xdr:nvSpPr>
        <xdr:cNvPr id="109" name="108 Combinar">
          <a:extLst>
            <a:ext uri="{FF2B5EF4-FFF2-40B4-BE49-F238E27FC236}">
              <a16:creationId xmlns:a16="http://schemas.microsoft.com/office/drawing/2014/main" id="{867C3424-F0F4-4B2E-AFBE-A25E6BFEC35D}"/>
            </a:ext>
          </a:extLst>
        </xdr:cNvPr>
        <xdr:cNvSpPr/>
      </xdr:nvSpPr>
      <xdr:spPr>
        <a:xfrm>
          <a:off x="7351395" y="37318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11</xdr:row>
      <xdr:rowOff>28575</xdr:rowOff>
    </xdr:from>
    <xdr:to>
      <xdr:col>6</xdr:col>
      <xdr:colOff>190500</xdr:colOff>
      <xdr:row>11</xdr:row>
      <xdr:rowOff>133350</xdr:rowOff>
    </xdr:to>
    <xdr:sp macro="" textlink="">
      <xdr:nvSpPr>
        <xdr:cNvPr id="110" name="109 Combinar">
          <a:extLst>
            <a:ext uri="{FF2B5EF4-FFF2-40B4-BE49-F238E27FC236}">
              <a16:creationId xmlns:a16="http://schemas.microsoft.com/office/drawing/2014/main" id="{FE5E8F05-74C4-4D22-AA68-599689D6DD22}"/>
            </a:ext>
          </a:extLst>
        </xdr:cNvPr>
        <xdr:cNvSpPr/>
      </xdr:nvSpPr>
      <xdr:spPr>
        <a:xfrm>
          <a:off x="7351395" y="20859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12</xdr:row>
      <xdr:rowOff>28575</xdr:rowOff>
    </xdr:from>
    <xdr:to>
      <xdr:col>6</xdr:col>
      <xdr:colOff>190500</xdr:colOff>
      <xdr:row>12</xdr:row>
      <xdr:rowOff>133350</xdr:rowOff>
    </xdr:to>
    <xdr:sp macro="" textlink="">
      <xdr:nvSpPr>
        <xdr:cNvPr id="111" name="110 Combinar">
          <a:extLst>
            <a:ext uri="{FF2B5EF4-FFF2-40B4-BE49-F238E27FC236}">
              <a16:creationId xmlns:a16="http://schemas.microsoft.com/office/drawing/2014/main" id="{C855B5E0-23CA-4185-95FD-35E6970C3391}"/>
            </a:ext>
          </a:extLst>
        </xdr:cNvPr>
        <xdr:cNvSpPr/>
      </xdr:nvSpPr>
      <xdr:spPr>
        <a:xfrm>
          <a:off x="7351395" y="22688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13</xdr:row>
      <xdr:rowOff>28575</xdr:rowOff>
    </xdr:from>
    <xdr:to>
      <xdr:col>6</xdr:col>
      <xdr:colOff>190500</xdr:colOff>
      <xdr:row>13</xdr:row>
      <xdr:rowOff>133350</xdr:rowOff>
    </xdr:to>
    <xdr:sp macro="" textlink="">
      <xdr:nvSpPr>
        <xdr:cNvPr id="112" name="111 Combinar">
          <a:extLst>
            <a:ext uri="{FF2B5EF4-FFF2-40B4-BE49-F238E27FC236}">
              <a16:creationId xmlns:a16="http://schemas.microsoft.com/office/drawing/2014/main" id="{E0BC9C62-A3F4-46C6-A7AD-FD8F2BF5F416}"/>
            </a:ext>
          </a:extLst>
        </xdr:cNvPr>
        <xdr:cNvSpPr/>
      </xdr:nvSpPr>
      <xdr:spPr>
        <a:xfrm>
          <a:off x="7351395" y="24517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6</xdr:col>
      <xdr:colOff>190500</xdr:colOff>
      <xdr:row>14</xdr:row>
      <xdr:rowOff>133350</xdr:rowOff>
    </xdr:to>
    <xdr:sp macro="" textlink="">
      <xdr:nvSpPr>
        <xdr:cNvPr id="113" name="112 Combinar">
          <a:extLst>
            <a:ext uri="{FF2B5EF4-FFF2-40B4-BE49-F238E27FC236}">
              <a16:creationId xmlns:a16="http://schemas.microsoft.com/office/drawing/2014/main" id="{443F0C12-2E3E-435A-88B7-3EB5A73369EC}"/>
            </a:ext>
          </a:extLst>
        </xdr:cNvPr>
        <xdr:cNvSpPr/>
      </xdr:nvSpPr>
      <xdr:spPr>
        <a:xfrm>
          <a:off x="7351395" y="26346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15</xdr:row>
      <xdr:rowOff>28575</xdr:rowOff>
    </xdr:from>
    <xdr:to>
      <xdr:col>6</xdr:col>
      <xdr:colOff>190500</xdr:colOff>
      <xdr:row>15</xdr:row>
      <xdr:rowOff>133350</xdr:rowOff>
    </xdr:to>
    <xdr:sp macro="" textlink="">
      <xdr:nvSpPr>
        <xdr:cNvPr id="114" name="113 Combinar">
          <a:extLst>
            <a:ext uri="{FF2B5EF4-FFF2-40B4-BE49-F238E27FC236}">
              <a16:creationId xmlns:a16="http://schemas.microsoft.com/office/drawing/2014/main" id="{A24E9060-5C02-47DC-B7AF-C39803FACCB5}"/>
            </a:ext>
          </a:extLst>
        </xdr:cNvPr>
        <xdr:cNvSpPr/>
      </xdr:nvSpPr>
      <xdr:spPr>
        <a:xfrm>
          <a:off x="7351395" y="28174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16</xdr:row>
      <xdr:rowOff>28575</xdr:rowOff>
    </xdr:from>
    <xdr:to>
      <xdr:col>6</xdr:col>
      <xdr:colOff>190500</xdr:colOff>
      <xdr:row>16</xdr:row>
      <xdr:rowOff>133350</xdr:rowOff>
    </xdr:to>
    <xdr:sp macro="" textlink="">
      <xdr:nvSpPr>
        <xdr:cNvPr id="115" name="114 Combinar">
          <a:extLst>
            <a:ext uri="{FF2B5EF4-FFF2-40B4-BE49-F238E27FC236}">
              <a16:creationId xmlns:a16="http://schemas.microsoft.com/office/drawing/2014/main" id="{22848E50-DEDD-4827-9A11-E77A89D2E065}"/>
            </a:ext>
          </a:extLst>
        </xdr:cNvPr>
        <xdr:cNvSpPr/>
      </xdr:nvSpPr>
      <xdr:spPr>
        <a:xfrm>
          <a:off x="7351395" y="30003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17</xdr:row>
      <xdr:rowOff>28575</xdr:rowOff>
    </xdr:from>
    <xdr:to>
      <xdr:col>6</xdr:col>
      <xdr:colOff>190500</xdr:colOff>
      <xdr:row>17</xdr:row>
      <xdr:rowOff>133350</xdr:rowOff>
    </xdr:to>
    <xdr:sp macro="" textlink="">
      <xdr:nvSpPr>
        <xdr:cNvPr id="116" name="115 Combinar">
          <a:extLst>
            <a:ext uri="{FF2B5EF4-FFF2-40B4-BE49-F238E27FC236}">
              <a16:creationId xmlns:a16="http://schemas.microsoft.com/office/drawing/2014/main" id="{29CCD54E-4D06-4980-9D9E-068DB2AF6F2C}"/>
            </a:ext>
          </a:extLst>
        </xdr:cNvPr>
        <xdr:cNvSpPr/>
      </xdr:nvSpPr>
      <xdr:spPr>
        <a:xfrm>
          <a:off x="7351395" y="318325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18</xdr:row>
      <xdr:rowOff>28575</xdr:rowOff>
    </xdr:from>
    <xdr:to>
      <xdr:col>6</xdr:col>
      <xdr:colOff>190500</xdr:colOff>
      <xdr:row>18</xdr:row>
      <xdr:rowOff>133350</xdr:rowOff>
    </xdr:to>
    <xdr:sp macro="" textlink="">
      <xdr:nvSpPr>
        <xdr:cNvPr id="117" name="116 Combinar">
          <a:extLst>
            <a:ext uri="{FF2B5EF4-FFF2-40B4-BE49-F238E27FC236}">
              <a16:creationId xmlns:a16="http://schemas.microsoft.com/office/drawing/2014/main" id="{78F0022B-A04F-44AE-9B48-2211892411CF}"/>
            </a:ext>
          </a:extLst>
        </xdr:cNvPr>
        <xdr:cNvSpPr/>
      </xdr:nvSpPr>
      <xdr:spPr>
        <a:xfrm>
          <a:off x="7351395" y="336613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19</xdr:row>
      <xdr:rowOff>28575</xdr:rowOff>
    </xdr:from>
    <xdr:to>
      <xdr:col>6</xdr:col>
      <xdr:colOff>190500</xdr:colOff>
      <xdr:row>19</xdr:row>
      <xdr:rowOff>133350</xdr:rowOff>
    </xdr:to>
    <xdr:sp macro="" textlink="">
      <xdr:nvSpPr>
        <xdr:cNvPr id="118" name="117 Combinar">
          <a:extLst>
            <a:ext uri="{FF2B5EF4-FFF2-40B4-BE49-F238E27FC236}">
              <a16:creationId xmlns:a16="http://schemas.microsoft.com/office/drawing/2014/main" id="{89DA0D1F-6BDB-472E-B334-EDC3BB2EBD80}"/>
            </a:ext>
          </a:extLst>
        </xdr:cNvPr>
        <xdr:cNvSpPr/>
      </xdr:nvSpPr>
      <xdr:spPr>
        <a:xfrm>
          <a:off x="7351395" y="354901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20</xdr:row>
      <xdr:rowOff>28575</xdr:rowOff>
    </xdr:from>
    <xdr:to>
      <xdr:col>6</xdr:col>
      <xdr:colOff>190500</xdr:colOff>
      <xdr:row>20</xdr:row>
      <xdr:rowOff>133350</xdr:rowOff>
    </xdr:to>
    <xdr:sp macro="" textlink="">
      <xdr:nvSpPr>
        <xdr:cNvPr id="119" name="118 Combinar">
          <a:extLst>
            <a:ext uri="{FF2B5EF4-FFF2-40B4-BE49-F238E27FC236}">
              <a16:creationId xmlns:a16="http://schemas.microsoft.com/office/drawing/2014/main" id="{BB0D601A-0A43-4722-8A97-C147183BB96C}"/>
            </a:ext>
          </a:extLst>
        </xdr:cNvPr>
        <xdr:cNvSpPr/>
      </xdr:nvSpPr>
      <xdr:spPr>
        <a:xfrm>
          <a:off x="7351395" y="373189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66675</xdr:colOff>
      <xdr:row>21</xdr:row>
      <xdr:rowOff>28575</xdr:rowOff>
    </xdr:from>
    <xdr:to>
      <xdr:col>6</xdr:col>
      <xdr:colOff>190500</xdr:colOff>
      <xdr:row>21</xdr:row>
      <xdr:rowOff>133350</xdr:rowOff>
    </xdr:to>
    <xdr:sp macro="" textlink="">
      <xdr:nvSpPr>
        <xdr:cNvPr id="120" name="119 Combinar">
          <a:extLst>
            <a:ext uri="{FF2B5EF4-FFF2-40B4-BE49-F238E27FC236}">
              <a16:creationId xmlns:a16="http://schemas.microsoft.com/office/drawing/2014/main" id="{AC79320F-B590-4CE2-A1D2-0DAAB243E7F5}"/>
            </a:ext>
          </a:extLst>
        </xdr:cNvPr>
        <xdr:cNvSpPr/>
      </xdr:nvSpPr>
      <xdr:spPr>
        <a:xfrm>
          <a:off x="7351395" y="391477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9525</xdr:colOff>
      <xdr:row>22</xdr:row>
      <xdr:rowOff>38100</xdr:rowOff>
    </xdr:from>
    <xdr:to>
      <xdr:col>2</xdr:col>
      <xdr:colOff>247650</xdr:colOff>
      <xdr:row>22</xdr:row>
      <xdr:rowOff>142875</xdr:rowOff>
    </xdr:to>
    <xdr:sp macro="" textlink="">
      <xdr:nvSpPr>
        <xdr:cNvPr id="121" name="120 Elipse">
          <a:extLst>
            <a:ext uri="{FF2B5EF4-FFF2-40B4-BE49-F238E27FC236}">
              <a16:creationId xmlns:a16="http://schemas.microsoft.com/office/drawing/2014/main" id="{BD203998-917B-40A3-BBB9-3D850C70207E}"/>
            </a:ext>
          </a:extLst>
        </xdr:cNvPr>
        <xdr:cNvSpPr/>
      </xdr:nvSpPr>
      <xdr:spPr>
        <a:xfrm>
          <a:off x="6075045" y="4107180"/>
          <a:ext cx="238125" cy="104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9525</xdr:colOff>
      <xdr:row>23</xdr:row>
      <xdr:rowOff>38101</xdr:rowOff>
    </xdr:from>
    <xdr:to>
      <xdr:col>2</xdr:col>
      <xdr:colOff>247650</xdr:colOff>
      <xdr:row>23</xdr:row>
      <xdr:rowOff>133351</xdr:rowOff>
    </xdr:to>
    <xdr:sp macro="" textlink="">
      <xdr:nvSpPr>
        <xdr:cNvPr id="122" name="121 Elipse">
          <a:extLst>
            <a:ext uri="{FF2B5EF4-FFF2-40B4-BE49-F238E27FC236}">
              <a16:creationId xmlns:a16="http://schemas.microsoft.com/office/drawing/2014/main" id="{64F540EA-A744-4E7D-BA9C-857EE595D0E5}"/>
            </a:ext>
          </a:extLst>
        </xdr:cNvPr>
        <xdr:cNvSpPr/>
      </xdr:nvSpPr>
      <xdr:spPr>
        <a:xfrm>
          <a:off x="6075045" y="4290061"/>
          <a:ext cx="238125" cy="95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9525</xdr:colOff>
      <xdr:row>24</xdr:row>
      <xdr:rowOff>57151</xdr:rowOff>
    </xdr:from>
    <xdr:to>
      <xdr:col>2</xdr:col>
      <xdr:colOff>238125</xdr:colOff>
      <xdr:row>24</xdr:row>
      <xdr:rowOff>152401</xdr:rowOff>
    </xdr:to>
    <xdr:sp macro="" textlink="">
      <xdr:nvSpPr>
        <xdr:cNvPr id="123" name="122 Elipse">
          <a:extLst>
            <a:ext uri="{FF2B5EF4-FFF2-40B4-BE49-F238E27FC236}">
              <a16:creationId xmlns:a16="http://schemas.microsoft.com/office/drawing/2014/main" id="{FE600719-6CC3-4E8C-AA18-D4526933C65D}"/>
            </a:ext>
          </a:extLst>
        </xdr:cNvPr>
        <xdr:cNvSpPr/>
      </xdr:nvSpPr>
      <xdr:spPr>
        <a:xfrm>
          <a:off x="6075045" y="4491991"/>
          <a:ext cx="228600" cy="9525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9525</xdr:colOff>
      <xdr:row>26</xdr:row>
      <xdr:rowOff>38100</xdr:rowOff>
    </xdr:from>
    <xdr:to>
      <xdr:col>2</xdr:col>
      <xdr:colOff>247650</xdr:colOff>
      <xdr:row>26</xdr:row>
      <xdr:rowOff>152400</xdr:rowOff>
    </xdr:to>
    <xdr:sp macro="" textlink="">
      <xdr:nvSpPr>
        <xdr:cNvPr id="124" name="123 Elipse">
          <a:extLst>
            <a:ext uri="{FF2B5EF4-FFF2-40B4-BE49-F238E27FC236}">
              <a16:creationId xmlns:a16="http://schemas.microsoft.com/office/drawing/2014/main" id="{A12D800B-2FD7-4364-B2B2-3F0A27094A36}"/>
            </a:ext>
          </a:extLst>
        </xdr:cNvPr>
        <xdr:cNvSpPr/>
      </xdr:nvSpPr>
      <xdr:spPr>
        <a:xfrm>
          <a:off x="6075045" y="4655820"/>
          <a:ext cx="238125" cy="114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22</xdr:row>
      <xdr:rowOff>57150</xdr:rowOff>
    </xdr:from>
    <xdr:to>
      <xdr:col>3</xdr:col>
      <xdr:colOff>228600</xdr:colOff>
      <xdr:row>22</xdr:row>
      <xdr:rowOff>142875</xdr:rowOff>
    </xdr:to>
    <xdr:sp macro="" textlink="">
      <xdr:nvSpPr>
        <xdr:cNvPr id="125" name="124 Flecha derecha">
          <a:extLst>
            <a:ext uri="{FF2B5EF4-FFF2-40B4-BE49-F238E27FC236}">
              <a16:creationId xmlns:a16="http://schemas.microsoft.com/office/drawing/2014/main" id="{D34112E6-568C-43B6-BC3C-2D3950C9CA8E}"/>
            </a:ext>
          </a:extLst>
        </xdr:cNvPr>
        <xdr:cNvSpPr/>
      </xdr:nvSpPr>
      <xdr:spPr>
        <a:xfrm>
          <a:off x="6366510" y="412623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23</xdr:row>
      <xdr:rowOff>57150</xdr:rowOff>
    </xdr:from>
    <xdr:to>
      <xdr:col>3</xdr:col>
      <xdr:colOff>228600</xdr:colOff>
      <xdr:row>23</xdr:row>
      <xdr:rowOff>142875</xdr:rowOff>
    </xdr:to>
    <xdr:sp macro="" textlink="">
      <xdr:nvSpPr>
        <xdr:cNvPr id="126" name="125 Flecha derecha">
          <a:extLst>
            <a:ext uri="{FF2B5EF4-FFF2-40B4-BE49-F238E27FC236}">
              <a16:creationId xmlns:a16="http://schemas.microsoft.com/office/drawing/2014/main" id="{29672CD2-EE15-4245-9C44-3B200FE3F08E}"/>
            </a:ext>
          </a:extLst>
        </xdr:cNvPr>
        <xdr:cNvSpPr/>
      </xdr:nvSpPr>
      <xdr:spPr>
        <a:xfrm>
          <a:off x="6366510" y="430911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24</xdr:row>
      <xdr:rowOff>57150</xdr:rowOff>
    </xdr:from>
    <xdr:to>
      <xdr:col>3</xdr:col>
      <xdr:colOff>228600</xdr:colOff>
      <xdr:row>24</xdr:row>
      <xdr:rowOff>142875</xdr:rowOff>
    </xdr:to>
    <xdr:sp macro="" textlink="">
      <xdr:nvSpPr>
        <xdr:cNvPr id="127" name="126 Flecha derecha">
          <a:extLst>
            <a:ext uri="{FF2B5EF4-FFF2-40B4-BE49-F238E27FC236}">
              <a16:creationId xmlns:a16="http://schemas.microsoft.com/office/drawing/2014/main" id="{EEA5F62D-9B2B-4F93-BA31-B583FCD338E8}"/>
            </a:ext>
          </a:extLst>
        </xdr:cNvPr>
        <xdr:cNvSpPr/>
      </xdr:nvSpPr>
      <xdr:spPr>
        <a:xfrm>
          <a:off x="6366510" y="4491990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26</xdr:row>
      <xdr:rowOff>66675</xdr:rowOff>
    </xdr:from>
    <xdr:to>
      <xdr:col>3</xdr:col>
      <xdr:colOff>228600</xdr:colOff>
      <xdr:row>26</xdr:row>
      <xdr:rowOff>152400</xdr:rowOff>
    </xdr:to>
    <xdr:sp macro="" textlink="">
      <xdr:nvSpPr>
        <xdr:cNvPr id="128" name="127 Flecha derecha">
          <a:extLst>
            <a:ext uri="{FF2B5EF4-FFF2-40B4-BE49-F238E27FC236}">
              <a16:creationId xmlns:a16="http://schemas.microsoft.com/office/drawing/2014/main" id="{68B22E83-09DE-4343-83C1-FE9226894058}"/>
            </a:ext>
          </a:extLst>
        </xdr:cNvPr>
        <xdr:cNvSpPr/>
      </xdr:nvSpPr>
      <xdr:spPr>
        <a:xfrm>
          <a:off x="6366510" y="468439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22</xdr:row>
      <xdr:rowOff>28575</xdr:rowOff>
    </xdr:from>
    <xdr:to>
      <xdr:col>4</xdr:col>
      <xdr:colOff>200024</xdr:colOff>
      <xdr:row>22</xdr:row>
      <xdr:rowOff>152399</xdr:rowOff>
    </xdr:to>
    <xdr:sp macro="" textlink="">
      <xdr:nvSpPr>
        <xdr:cNvPr id="129" name="128 Rectángulo">
          <a:extLst>
            <a:ext uri="{FF2B5EF4-FFF2-40B4-BE49-F238E27FC236}">
              <a16:creationId xmlns:a16="http://schemas.microsoft.com/office/drawing/2014/main" id="{C49CF0B5-617B-4AE3-81E4-D19BBEDFA50D}"/>
            </a:ext>
          </a:extLst>
        </xdr:cNvPr>
        <xdr:cNvSpPr/>
      </xdr:nvSpPr>
      <xdr:spPr>
        <a:xfrm>
          <a:off x="6747510" y="409765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23</xdr:row>
      <xdr:rowOff>28575</xdr:rowOff>
    </xdr:from>
    <xdr:to>
      <xdr:col>4</xdr:col>
      <xdr:colOff>200024</xdr:colOff>
      <xdr:row>23</xdr:row>
      <xdr:rowOff>152399</xdr:rowOff>
    </xdr:to>
    <xdr:sp macro="" textlink="">
      <xdr:nvSpPr>
        <xdr:cNvPr id="130" name="129 Rectángulo">
          <a:extLst>
            <a:ext uri="{FF2B5EF4-FFF2-40B4-BE49-F238E27FC236}">
              <a16:creationId xmlns:a16="http://schemas.microsoft.com/office/drawing/2014/main" id="{69F60A80-C41A-4806-916B-A9EF386A7DAD}"/>
            </a:ext>
          </a:extLst>
        </xdr:cNvPr>
        <xdr:cNvSpPr/>
      </xdr:nvSpPr>
      <xdr:spPr>
        <a:xfrm>
          <a:off x="6747510" y="428053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24</xdr:row>
      <xdr:rowOff>28575</xdr:rowOff>
    </xdr:from>
    <xdr:to>
      <xdr:col>4</xdr:col>
      <xdr:colOff>200024</xdr:colOff>
      <xdr:row>24</xdr:row>
      <xdr:rowOff>152399</xdr:rowOff>
    </xdr:to>
    <xdr:sp macro="" textlink="">
      <xdr:nvSpPr>
        <xdr:cNvPr id="131" name="130 Rectángulo">
          <a:extLst>
            <a:ext uri="{FF2B5EF4-FFF2-40B4-BE49-F238E27FC236}">
              <a16:creationId xmlns:a16="http://schemas.microsoft.com/office/drawing/2014/main" id="{627CA5F3-F3F7-430B-811A-9A605295D72C}"/>
            </a:ext>
          </a:extLst>
        </xdr:cNvPr>
        <xdr:cNvSpPr/>
      </xdr:nvSpPr>
      <xdr:spPr>
        <a:xfrm>
          <a:off x="6747510" y="446341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26</xdr:row>
      <xdr:rowOff>28575</xdr:rowOff>
    </xdr:from>
    <xdr:to>
      <xdr:col>4</xdr:col>
      <xdr:colOff>200024</xdr:colOff>
      <xdr:row>26</xdr:row>
      <xdr:rowOff>152399</xdr:rowOff>
    </xdr:to>
    <xdr:sp macro="" textlink="">
      <xdr:nvSpPr>
        <xdr:cNvPr id="132" name="131 Rectángulo">
          <a:extLst>
            <a:ext uri="{FF2B5EF4-FFF2-40B4-BE49-F238E27FC236}">
              <a16:creationId xmlns:a16="http://schemas.microsoft.com/office/drawing/2014/main" id="{050CE278-B210-4C24-A4FC-792681CADF03}"/>
            </a:ext>
          </a:extLst>
        </xdr:cNvPr>
        <xdr:cNvSpPr/>
      </xdr:nvSpPr>
      <xdr:spPr>
        <a:xfrm>
          <a:off x="6747510" y="4646295"/>
          <a:ext cx="142874" cy="123824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66675</xdr:colOff>
      <xdr:row>22</xdr:row>
      <xdr:rowOff>28575</xdr:rowOff>
    </xdr:from>
    <xdr:to>
      <xdr:col>5</xdr:col>
      <xdr:colOff>228599</xdr:colOff>
      <xdr:row>22</xdr:row>
      <xdr:rowOff>152400</xdr:rowOff>
    </xdr:to>
    <xdr:sp macro="" textlink="">
      <xdr:nvSpPr>
        <xdr:cNvPr id="133" name="132 Retraso">
          <a:extLst>
            <a:ext uri="{FF2B5EF4-FFF2-40B4-BE49-F238E27FC236}">
              <a16:creationId xmlns:a16="http://schemas.microsoft.com/office/drawing/2014/main" id="{0E7A6074-3476-4BCF-8886-5D6A66A6A48A}"/>
            </a:ext>
          </a:extLst>
        </xdr:cNvPr>
        <xdr:cNvSpPr/>
      </xdr:nvSpPr>
      <xdr:spPr>
        <a:xfrm>
          <a:off x="7038975" y="409765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66675</xdr:colOff>
      <xdr:row>23</xdr:row>
      <xdr:rowOff>28575</xdr:rowOff>
    </xdr:from>
    <xdr:to>
      <xdr:col>5</xdr:col>
      <xdr:colOff>228599</xdr:colOff>
      <xdr:row>23</xdr:row>
      <xdr:rowOff>152400</xdr:rowOff>
    </xdr:to>
    <xdr:sp macro="" textlink="">
      <xdr:nvSpPr>
        <xdr:cNvPr id="134" name="133 Retraso">
          <a:extLst>
            <a:ext uri="{FF2B5EF4-FFF2-40B4-BE49-F238E27FC236}">
              <a16:creationId xmlns:a16="http://schemas.microsoft.com/office/drawing/2014/main" id="{5F6F7147-76E3-4560-9CEC-955BA5D3032F}"/>
            </a:ext>
          </a:extLst>
        </xdr:cNvPr>
        <xdr:cNvSpPr/>
      </xdr:nvSpPr>
      <xdr:spPr>
        <a:xfrm>
          <a:off x="7038975" y="428053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66675</xdr:colOff>
      <xdr:row>24</xdr:row>
      <xdr:rowOff>28575</xdr:rowOff>
    </xdr:from>
    <xdr:to>
      <xdr:col>5</xdr:col>
      <xdr:colOff>228599</xdr:colOff>
      <xdr:row>24</xdr:row>
      <xdr:rowOff>152400</xdr:rowOff>
    </xdr:to>
    <xdr:sp macro="" textlink="">
      <xdr:nvSpPr>
        <xdr:cNvPr id="135" name="134 Retraso">
          <a:extLst>
            <a:ext uri="{FF2B5EF4-FFF2-40B4-BE49-F238E27FC236}">
              <a16:creationId xmlns:a16="http://schemas.microsoft.com/office/drawing/2014/main" id="{A7F6B89C-BF4A-4CDA-9B7E-CBB5A5FE171C}"/>
            </a:ext>
          </a:extLst>
        </xdr:cNvPr>
        <xdr:cNvSpPr/>
      </xdr:nvSpPr>
      <xdr:spPr>
        <a:xfrm>
          <a:off x="7038975" y="446341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66675</xdr:colOff>
      <xdr:row>26</xdr:row>
      <xdr:rowOff>28575</xdr:rowOff>
    </xdr:from>
    <xdr:to>
      <xdr:col>5</xdr:col>
      <xdr:colOff>228599</xdr:colOff>
      <xdr:row>26</xdr:row>
      <xdr:rowOff>152400</xdr:rowOff>
    </xdr:to>
    <xdr:sp macro="" textlink="">
      <xdr:nvSpPr>
        <xdr:cNvPr id="136" name="135 Retraso">
          <a:extLst>
            <a:ext uri="{FF2B5EF4-FFF2-40B4-BE49-F238E27FC236}">
              <a16:creationId xmlns:a16="http://schemas.microsoft.com/office/drawing/2014/main" id="{801BF91F-9B0D-4A1B-B0C3-7E131F77267F}"/>
            </a:ext>
          </a:extLst>
        </xdr:cNvPr>
        <xdr:cNvSpPr/>
      </xdr:nvSpPr>
      <xdr:spPr>
        <a:xfrm>
          <a:off x="7038975" y="464629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76200</xdr:colOff>
      <xdr:row>22</xdr:row>
      <xdr:rowOff>47625</xdr:rowOff>
    </xdr:from>
    <xdr:to>
      <xdr:col>6</xdr:col>
      <xdr:colOff>200025</xdr:colOff>
      <xdr:row>22</xdr:row>
      <xdr:rowOff>152400</xdr:rowOff>
    </xdr:to>
    <xdr:sp macro="" textlink="">
      <xdr:nvSpPr>
        <xdr:cNvPr id="137" name="136 Combinar">
          <a:extLst>
            <a:ext uri="{FF2B5EF4-FFF2-40B4-BE49-F238E27FC236}">
              <a16:creationId xmlns:a16="http://schemas.microsoft.com/office/drawing/2014/main" id="{A0C80C7C-A3F8-4089-B8C4-2B379AF046F9}"/>
            </a:ext>
          </a:extLst>
        </xdr:cNvPr>
        <xdr:cNvSpPr/>
      </xdr:nvSpPr>
      <xdr:spPr>
        <a:xfrm>
          <a:off x="7360920" y="411670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76200</xdr:colOff>
      <xdr:row>23</xdr:row>
      <xdr:rowOff>47625</xdr:rowOff>
    </xdr:from>
    <xdr:to>
      <xdr:col>6</xdr:col>
      <xdr:colOff>200025</xdr:colOff>
      <xdr:row>23</xdr:row>
      <xdr:rowOff>152400</xdr:rowOff>
    </xdr:to>
    <xdr:sp macro="" textlink="">
      <xdr:nvSpPr>
        <xdr:cNvPr id="138" name="137 Combinar">
          <a:extLst>
            <a:ext uri="{FF2B5EF4-FFF2-40B4-BE49-F238E27FC236}">
              <a16:creationId xmlns:a16="http://schemas.microsoft.com/office/drawing/2014/main" id="{EE68BFBA-C1E9-47EF-8F66-A6C0467588B8}"/>
            </a:ext>
          </a:extLst>
        </xdr:cNvPr>
        <xdr:cNvSpPr/>
      </xdr:nvSpPr>
      <xdr:spPr>
        <a:xfrm>
          <a:off x="7360920" y="429958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76200</xdr:colOff>
      <xdr:row>24</xdr:row>
      <xdr:rowOff>47625</xdr:rowOff>
    </xdr:from>
    <xdr:to>
      <xdr:col>6</xdr:col>
      <xdr:colOff>200025</xdr:colOff>
      <xdr:row>24</xdr:row>
      <xdr:rowOff>152400</xdr:rowOff>
    </xdr:to>
    <xdr:sp macro="" textlink="">
      <xdr:nvSpPr>
        <xdr:cNvPr id="139" name="138 Combinar">
          <a:extLst>
            <a:ext uri="{FF2B5EF4-FFF2-40B4-BE49-F238E27FC236}">
              <a16:creationId xmlns:a16="http://schemas.microsoft.com/office/drawing/2014/main" id="{C814E0DC-F2BB-4F29-9C82-B7AB2E1EC1BB}"/>
            </a:ext>
          </a:extLst>
        </xdr:cNvPr>
        <xdr:cNvSpPr/>
      </xdr:nvSpPr>
      <xdr:spPr>
        <a:xfrm>
          <a:off x="7360920" y="448246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76200</xdr:colOff>
      <xdr:row>26</xdr:row>
      <xdr:rowOff>47625</xdr:rowOff>
    </xdr:from>
    <xdr:to>
      <xdr:col>6</xdr:col>
      <xdr:colOff>200025</xdr:colOff>
      <xdr:row>26</xdr:row>
      <xdr:rowOff>152400</xdr:rowOff>
    </xdr:to>
    <xdr:sp macro="" textlink="">
      <xdr:nvSpPr>
        <xdr:cNvPr id="140" name="139 Combinar">
          <a:extLst>
            <a:ext uri="{FF2B5EF4-FFF2-40B4-BE49-F238E27FC236}">
              <a16:creationId xmlns:a16="http://schemas.microsoft.com/office/drawing/2014/main" id="{B57D4E74-B2A2-4A07-8832-59B163DCE535}"/>
            </a:ext>
          </a:extLst>
        </xdr:cNvPr>
        <xdr:cNvSpPr/>
      </xdr:nvSpPr>
      <xdr:spPr>
        <a:xfrm>
          <a:off x="7360920" y="466534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9525</xdr:colOff>
      <xdr:row>25</xdr:row>
      <xdr:rowOff>38100</xdr:rowOff>
    </xdr:from>
    <xdr:to>
      <xdr:col>2</xdr:col>
      <xdr:colOff>247650</xdr:colOff>
      <xdr:row>25</xdr:row>
      <xdr:rowOff>152400</xdr:rowOff>
    </xdr:to>
    <xdr:sp macro="" textlink="">
      <xdr:nvSpPr>
        <xdr:cNvPr id="141" name="123 Elipse">
          <a:extLst>
            <a:ext uri="{FF2B5EF4-FFF2-40B4-BE49-F238E27FC236}">
              <a16:creationId xmlns:a16="http://schemas.microsoft.com/office/drawing/2014/main" id="{1123EB63-2DF5-4B99-B2B2-C32FC9AB2D61}"/>
            </a:ext>
          </a:extLst>
        </xdr:cNvPr>
        <xdr:cNvSpPr/>
      </xdr:nvSpPr>
      <xdr:spPr>
        <a:xfrm>
          <a:off x="6075045" y="4838700"/>
          <a:ext cx="238125" cy="114300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19050</xdr:colOff>
      <xdr:row>25</xdr:row>
      <xdr:rowOff>66675</xdr:rowOff>
    </xdr:from>
    <xdr:to>
      <xdr:col>3</xdr:col>
      <xdr:colOff>228600</xdr:colOff>
      <xdr:row>25</xdr:row>
      <xdr:rowOff>152400</xdr:rowOff>
    </xdr:to>
    <xdr:sp macro="" textlink="">
      <xdr:nvSpPr>
        <xdr:cNvPr id="142" name="127 Flecha derecha">
          <a:extLst>
            <a:ext uri="{FF2B5EF4-FFF2-40B4-BE49-F238E27FC236}">
              <a16:creationId xmlns:a16="http://schemas.microsoft.com/office/drawing/2014/main" id="{77A21E08-465D-44C5-ADF9-BD84B852439E}"/>
            </a:ext>
          </a:extLst>
        </xdr:cNvPr>
        <xdr:cNvSpPr/>
      </xdr:nvSpPr>
      <xdr:spPr>
        <a:xfrm>
          <a:off x="6366510" y="4867275"/>
          <a:ext cx="209550" cy="857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57150</xdr:colOff>
      <xdr:row>25</xdr:row>
      <xdr:rowOff>28575</xdr:rowOff>
    </xdr:from>
    <xdr:to>
      <xdr:col>4</xdr:col>
      <xdr:colOff>200024</xdr:colOff>
      <xdr:row>25</xdr:row>
      <xdr:rowOff>152399</xdr:rowOff>
    </xdr:to>
    <xdr:sp macro="" textlink="">
      <xdr:nvSpPr>
        <xdr:cNvPr id="143" name="131 Rectángulo">
          <a:extLst>
            <a:ext uri="{FF2B5EF4-FFF2-40B4-BE49-F238E27FC236}">
              <a16:creationId xmlns:a16="http://schemas.microsoft.com/office/drawing/2014/main" id="{87D0B56C-181B-4413-A1C1-BCFACA388DD6}"/>
            </a:ext>
          </a:extLst>
        </xdr:cNvPr>
        <xdr:cNvSpPr/>
      </xdr:nvSpPr>
      <xdr:spPr>
        <a:xfrm>
          <a:off x="6747510" y="4829175"/>
          <a:ext cx="142874" cy="1238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66675</xdr:colOff>
      <xdr:row>25</xdr:row>
      <xdr:rowOff>28575</xdr:rowOff>
    </xdr:from>
    <xdr:to>
      <xdr:col>5</xdr:col>
      <xdr:colOff>228599</xdr:colOff>
      <xdr:row>25</xdr:row>
      <xdr:rowOff>152400</xdr:rowOff>
    </xdr:to>
    <xdr:sp macro="" textlink="">
      <xdr:nvSpPr>
        <xdr:cNvPr id="144" name="135 Retraso">
          <a:extLst>
            <a:ext uri="{FF2B5EF4-FFF2-40B4-BE49-F238E27FC236}">
              <a16:creationId xmlns:a16="http://schemas.microsoft.com/office/drawing/2014/main" id="{0D80EE58-9ADE-4D14-B1C1-55E5B90EAC4D}"/>
            </a:ext>
          </a:extLst>
        </xdr:cNvPr>
        <xdr:cNvSpPr/>
      </xdr:nvSpPr>
      <xdr:spPr>
        <a:xfrm>
          <a:off x="7038975" y="4829175"/>
          <a:ext cx="161924" cy="1238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76200</xdr:colOff>
      <xdr:row>25</xdr:row>
      <xdr:rowOff>47625</xdr:rowOff>
    </xdr:from>
    <xdr:to>
      <xdr:col>6</xdr:col>
      <xdr:colOff>200025</xdr:colOff>
      <xdr:row>25</xdr:row>
      <xdr:rowOff>152400</xdr:rowOff>
    </xdr:to>
    <xdr:sp macro="" textlink="">
      <xdr:nvSpPr>
        <xdr:cNvPr id="145" name="139 Combinar">
          <a:extLst>
            <a:ext uri="{FF2B5EF4-FFF2-40B4-BE49-F238E27FC236}">
              <a16:creationId xmlns:a16="http://schemas.microsoft.com/office/drawing/2014/main" id="{AF397CCB-36FE-419C-A553-9A2462901198}"/>
            </a:ext>
          </a:extLst>
        </xdr:cNvPr>
        <xdr:cNvSpPr/>
      </xdr:nvSpPr>
      <xdr:spPr>
        <a:xfrm>
          <a:off x="7360920" y="4848225"/>
          <a:ext cx="123825" cy="10477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I6" sqref="I6"/>
    </sheetView>
  </sheetViews>
  <sheetFormatPr baseColWidth="10" defaultRowHeight="15" x14ac:dyDescent="0.25"/>
  <cols>
    <col min="1" max="1" width="3.85546875" customWidth="1"/>
    <col min="2" max="2" width="84.5703125" bestFit="1" customWidth="1"/>
    <col min="3" max="3" width="4.140625" bestFit="1" customWidth="1"/>
    <col min="4" max="4" width="5" bestFit="1" customWidth="1"/>
    <col min="5" max="5" width="4.140625" bestFit="1" customWidth="1"/>
    <col min="6" max="6" width="4.5703125" customWidth="1"/>
    <col min="7" max="7" width="5" customWidth="1"/>
    <col min="8" max="8" width="13" bestFit="1" customWidth="1"/>
    <col min="257" max="257" width="3.85546875" customWidth="1"/>
    <col min="258" max="258" width="84.5703125" bestFit="1" customWidth="1"/>
    <col min="259" max="259" width="4.140625" bestFit="1" customWidth="1"/>
    <col min="260" max="260" width="5" bestFit="1" customWidth="1"/>
    <col min="261" max="261" width="4.140625" bestFit="1" customWidth="1"/>
    <col min="262" max="262" width="4.5703125" customWidth="1"/>
    <col min="263" max="263" width="5" customWidth="1"/>
    <col min="264" max="264" width="10" customWidth="1"/>
    <col min="513" max="513" width="3.85546875" customWidth="1"/>
    <col min="514" max="514" width="84.5703125" bestFit="1" customWidth="1"/>
    <col min="515" max="515" width="4.140625" bestFit="1" customWidth="1"/>
    <col min="516" max="516" width="5" bestFit="1" customWidth="1"/>
    <col min="517" max="517" width="4.140625" bestFit="1" customWidth="1"/>
    <col min="518" max="518" width="4.5703125" customWidth="1"/>
    <col min="519" max="519" width="5" customWidth="1"/>
    <col min="520" max="520" width="10" customWidth="1"/>
    <col min="769" max="769" width="3.85546875" customWidth="1"/>
    <col min="770" max="770" width="84.5703125" bestFit="1" customWidth="1"/>
    <col min="771" max="771" width="4.140625" bestFit="1" customWidth="1"/>
    <col min="772" max="772" width="5" bestFit="1" customWidth="1"/>
    <col min="773" max="773" width="4.140625" bestFit="1" customWidth="1"/>
    <col min="774" max="774" width="4.5703125" customWidth="1"/>
    <col min="775" max="775" width="5" customWidth="1"/>
    <col min="776" max="776" width="10" customWidth="1"/>
    <col min="1025" max="1025" width="3.85546875" customWidth="1"/>
    <col min="1026" max="1026" width="84.5703125" bestFit="1" customWidth="1"/>
    <col min="1027" max="1027" width="4.140625" bestFit="1" customWidth="1"/>
    <col min="1028" max="1028" width="5" bestFit="1" customWidth="1"/>
    <col min="1029" max="1029" width="4.140625" bestFit="1" customWidth="1"/>
    <col min="1030" max="1030" width="4.5703125" customWidth="1"/>
    <col min="1031" max="1031" width="5" customWidth="1"/>
    <col min="1032" max="1032" width="10" customWidth="1"/>
    <col min="1281" max="1281" width="3.85546875" customWidth="1"/>
    <col min="1282" max="1282" width="84.5703125" bestFit="1" customWidth="1"/>
    <col min="1283" max="1283" width="4.140625" bestFit="1" customWidth="1"/>
    <col min="1284" max="1284" width="5" bestFit="1" customWidth="1"/>
    <col min="1285" max="1285" width="4.140625" bestFit="1" customWidth="1"/>
    <col min="1286" max="1286" width="4.5703125" customWidth="1"/>
    <col min="1287" max="1287" width="5" customWidth="1"/>
    <col min="1288" max="1288" width="10" customWidth="1"/>
    <col min="1537" max="1537" width="3.85546875" customWidth="1"/>
    <col min="1538" max="1538" width="84.5703125" bestFit="1" customWidth="1"/>
    <col min="1539" max="1539" width="4.140625" bestFit="1" customWidth="1"/>
    <col min="1540" max="1540" width="5" bestFit="1" customWidth="1"/>
    <col min="1541" max="1541" width="4.140625" bestFit="1" customWidth="1"/>
    <col min="1542" max="1542" width="4.5703125" customWidth="1"/>
    <col min="1543" max="1543" width="5" customWidth="1"/>
    <col min="1544" max="1544" width="10" customWidth="1"/>
    <col min="1793" max="1793" width="3.85546875" customWidth="1"/>
    <col min="1794" max="1794" width="84.5703125" bestFit="1" customWidth="1"/>
    <col min="1795" max="1795" width="4.140625" bestFit="1" customWidth="1"/>
    <col min="1796" max="1796" width="5" bestFit="1" customWidth="1"/>
    <col min="1797" max="1797" width="4.140625" bestFit="1" customWidth="1"/>
    <col min="1798" max="1798" width="4.5703125" customWidth="1"/>
    <col min="1799" max="1799" width="5" customWidth="1"/>
    <col min="1800" max="1800" width="10" customWidth="1"/>
    <col min="2049" max="2049" width="3.85546875" customWidth="1"/>
    <col min="2050" max="2050" width="84.5703125" bestFit="1" customWidth="1"/>
    <col min="2051" max="2051" width="4.140625" bestFit="1" customWidth="1"/>
    <col min="2052" max="2052" width="5" bestFit="1" customWidth="1"/>
    <col min="2053" max="2053" width="4.140625" bestFit="1" customWidth="1"/>
    <col min="2054" max="2054" width="4.5703125" customWidth="1"/>
    <col min="2055" max="2055" width="5" customWidth="1"/>
    <col min="2056" max="2056" width="10" customWidth="1"/>
    <col min="2305" max="2305" width="3.85546875" customWidth="1"/>
    <col min="2306" max="2306" width="84.5703125" bestFit="1" customWidth="1"/>
    <col min="2307" max="2307" width="4.140625" bestFit="1" customWidth="1"/>
    <col min="2308" max="2308" width="5" bestFit="1" customWidth="1"/>
    <col min="2309" max="2309" width="4.140625" bestFit="1" customWidth="1"/>
    <col min="2310" max="2310" width="4.5703125" customWidth="1"/>
    <col min="2311" max="2311" width="5" customWidth="1"/>
    <col min="2312" max="2312" width="10" customWidth="1"/>
    <col min="2561" max="2561" width="3.85546875" customWidth="1"/>
    <col min="2562" max="2562" width="84.5703125" bestFit="1" customWidth="1"/>
    <col min="2563" max="2563" width="4.140625" bestFit="1" customWidth="1"/>
    <col min="2564" max="2564" width="5" bestFit="1" customWidth="1"/>
    <col min="2565" max="2565" width="4.140625" bestFit="1" customWidth="1"/>
    <col min="2566" max="2566" width="4.5703125" customWidth="1"/>
    <col min="2567" max="2567" width="5" customWidth="1"/>
    <col min="2568" max="2568" width="10" customWidth="1"/>
    <col min="2817" max="2817" width="3.85546875" customWidth="1"/>
    <col min="2818" max="2818" width="84.5703125" bestFit="1" customWidth="1"/>
    <col min="2819" max="2819" width="4.140625" bestFit="1" customWidth="1"/>
    <col min="2820" max="2820" width="5" bestFit="1" customWidth="1"/>
    <col min="2821" max="2821" width="4.140625" bestFit="1" customWidth="1"/>
    <col min="2822" max="2822" width="4.5703125" customWidth="1"/>
    <col min="2823" max="2823" width="5" customWidth="1"/>
    <col min="2824" max="2824" width="10" customWidth="1"/>
    <col min="3073" max="3073" width="3.85546875" customWidth="1"/>
    <col min="3074" max="3074" width="84.5703125" bestFit="1" customWidth="1"/>
    <col min="3075" max="3075" width="4.140625" bestFit="1" customWidth="1"/>
    <col min="3076" max="3076" width="5" bestFit="1" customWidth="1"/>
    <col min="3077" max="3077" width="4.140625" bestFit="1" customWidth="1"/>
    <col min="3078" max="3078" width="4.5703125" customWidth="1"/>
    <col min="3079" max="3079" width="5" customWidth="1"/>
    <col min="3080" max="3080" width="10" customWidth="1"/>
    <col min="3329" max="3329" width="3.85546875" customWidth="1"/>
    <col min="3330" max="3330" width="84.5703125" bestFit="1" customWidth="1"/>
    <col min="3331" max="3331" width="4.140625" bestFit="1" customWidth="1"/>
    <col min="3332" max="3332" width="5" bestFit="1" customWidth="1"/>
    <col min="3333" max="3333" width="4.140625" bestFit="1" customWidth="1"/>
    <col min="3334" max="3334" width="4.5703125" customWidth="1"/>
    <col min="3335" max="3335" width="5" customWidth="1"/>
    <col min="3336" max="3336" width="10" customWidth="1"/>
    <col min="3585" max="3585" width="3.85546875" customWidth="1"/>
    <col min="3586" max="3586" width="84.5703125" bestFit="1" customWidth="1"/>
    <col min="3587" max="3587" width="4.140625" bestFit="1" customWidth="1"/>
    <col min="3588" max="3588" width="5" bestFit="1" customWidth="1"/>
    <col min="3589" max="3589" width="4.140625" bestFit="1" customWidth="1"/>
    <col min="3590" max="3590" width="4.5703125" customWidth="1"/>
    <col min="3591" max="3591" width="5" customWidth="1"/>
    <col min="3592" max="3592" width="10" customWidth="1"/>
    <col min="3841" max="3841" width="3.85546875" customWidth="1"/>
    <col min="3842" max="3842" width="84.5703125" bestFit="1" customWidth="1"/>
    <col min="3843" max="3843" width="4.140625" bestFit="1" customWidth="1"/>
    <col min="3844" max="3844" width="5" bestFit="1" customWidth="1"/>
    <col min="3845" max="3845" width="4.140625" bestFit="1" customWidth="1"/>
    <col min="3846" max="3846" width="4.5703125" customWidth="1"/>
    <col min="3847" max="3847" width="5" customWidth="1"/>
    <col min="3848" max="3848" width="10" customWidth="1"/>
    <col min="4097" max="4097" width="3.85546875" customWidth="1"/>
    <col min="4098" max="4098" width="84.5703125" bestFit="1" customWidth="1"/>
    <col min="4099" max="4099" width="4.140625" bestFit="1" customWidth="1"/>
    <col min="4100" max="4100" width="5" bestFit="1" customWidth="1"/>
    <col min="4101" max="4101" width="4.140625" bestFit="1" customWidth="1"/>
    <col min="4102" max="4102" width="4.5703125" customWidth="1"/>
    <col min="4103" max="4103" width="5" customWidth="1"/>
    <col min="4104" max="4104" width="10" customWidth="1"/>
    <col min="4353" max="4353" width="3.85546875" customWidth="1"/>
    <col min="4354" max="4354" width="84.5703125" bestFit="1" customWidth="1"/>
    <col min="4355" max="4355" width="4.140625" bestFit="1" customWidth="1"/>
    <col min="4356" max="4356" width="5" bestFit="1" customWidth="1"/>
    <col min="4357" max="4357" width="4.140625" bestFit="1" customWidth="1"/>
    <col min="4358" max="4358" width="4.5703125" customWidth="1"/>
    <col min="4359" max="4359" width="5" customWidth="1"/>
    <col min="4360" max="4360" width="10" customWidth="1"/>
    <col min="4609" max="4609" width="3.85546875" customWidth="1"/>
    <col min="4610" max="4610" width="84.5703125" bestFit="1" customWidth="1"/>
    <col min="4611" max="4611" width="4.140625" bestFit="1" customWidth="1"/>
    <col min="4612" max="4612" width="5" bestFit="1" customWidth="1"/>
    <col min="4613" max="4613" width="4.140625" bestFit="1" customWidth="1"/>
    <col min="4614" max="4614" width="4.5703125" customWidth="1"/>
    <col min="4615" max="4615" width="5" customWidth="1"/>
    <col min="4616" max="4616" width="10" customWidth="1"/>
    <col min="4865" max="4865" width="3.85546875" customWidth="1"/>
    <col min="4866" max="4866" width="84.5703125" bestFit="1" customWidth="1"/>
    <col min="4867" max="4867" width="4.140625" bestFit="1" customWidth="1"/>
    <col min="4868" max="4868" width="5" bestFit="1" customWidth="1"/>
    <col min="4869" max="4869" width="4.140625" bestFit="1" customWidth="1"/>
    <col min="4870" max="4870" width="4.5703125" customWidth="1"/>
    <col min="4871" max="4871" width="5" customWidth="1"/>
    <col min="4872" max="4872" width="10" customWidth="1"/>
    <col min="5121" max="5121" width="3.85546875" customWidth="1"/>
    <col min="5122" max="5122" width="84.5703125" bestFit="1" customWidth="1"/>
    <col min="5123" max="5123" width="4.140625" bestFit="1" customWidth="1"/>
    <col min="5124" max="5124" width="5" bestFit="1" customWidth="1"/>
    <col min="5125" max="5125" width="4.140625" bestFit="1" customWidth="1"/>
    <col min="5126" max="5126" width="4.5703125" customWidth="1"/>
    <col min="5127" max="5127" width="5" customWidth="1"/>
    <col min="5128" max="5128" width="10" customWidth="1"/>
    <col min="5377" max="5377" width="3.85546875" customWidth="1"/>
    <col min="5378" max="5378" width="84.5703125" bestFit="1" customWidth="1"/>
    <col min="5379" max="5379" width="4.140625" bestFit="1" customWidth="1"/>
    <col min="5380" max="5380" width="5" bestFit="1" customWidth="1"/>
    <col min="5381" max="5381" width="4.140625" bestFit="1" customWidth="1"/>
    <col min="5382" max="5382" width="4.5703125" customWidth="1"/>
    <col min="5383" max="5383" width="5" customWidth="1"/>
    <col min="5384" max="5384" width="10" customWidth="1"/>
    <col min="5633" max="5633" width="3.85546875" customWidth="1"/>
    <col min="5634" max="5634" width="84.5703125" bestFit="1" customWidth="1"/>
    <col min="5635" max="5635" width="4.140625" bestFit="1" customWidth="1"/>
    <col min="5636" max="5636" width="5" bestFit="1" customWidth="1"/>
    <col min="5637" max="5637" width="4.140625" bestFit="1" customWidth="1"/>
    <col min="5638" max="5638" width="4.5703125" customWidth="1"/>
    <col min="5639" max="5639" width="5" customWidth="1"/>
    <col min="5640" max="5640" width="10" customWidth="1"/>
    <col min="5889" max="5889" width="3.85546875" customWidth="1"/>
    <col min="5890" max="5890" width="84.5703125" bestFit="1" customWidth="1"/>
    <col min="5891" max="5891" width="4.140625" bestFit="1" customWidth="1"/>
    <col min="5892" max="5892" width="5" bestFit="1" customWidth="1"/>
    <col min="5893" max="5893" width="4.140625" bestFit="1" customWidth="1"/>
    <col min="5894" max="5894" width="4.5703125" customWidth="1"/>
    <col min="5895" max="5895" width="5" customWidth="1"/>
    <col min="5896" max="5896" width="10" customWidth="1"/>
    <col min="6145" max="6145" width="3.85546875" customWidth="1"/>
    <col min="6146" max="6146" width="84.5703125" bestFit="1" customWidth="1"/>
    <col min="6147" max="6147" width="4.140625" bestFit="1" customWidth="1"/>
    <col min="6148" max="6148" width="5" bestFit="1" customWidth="1"/>
    <col min="6149" max="6149" width="4.140625" bestFit="1" customWidth="1"/>
    <col min="6150" max="6150" width="4.5703125" customWidth="1"/>
    <col min="6151" max="6151" width="5" customWidth="1"/>
    <col min="6152" max="6152" width="10" customWidth="1"/>
    <col min="6401" max="6401" width="3.85546875" customWidth="1"/>
    <col min="6402" max="6402" width="84.5703125" bestFit="1" customWidth="1"/>
    <col min="6403" max="6403" width="4.140625" bestFit="1" customWidth="1"/>
    <col min="6404" max="6404" width="5" bestFit="1" customWidth="1"/>
    <col min="6405" max="6405" width="4.140625" bestFit="1" customWidth="1"/>
    <col min="6406" max="6406" width="4.5703125" customWidth="1"/>
    <col min="6407" max="6407" width="5" customWidth="1"/>
    <col min="6408" max="6408" width="10" customWidth="1"/>
    <col min="6657" max="6657" width="3.85546875" customWidth="1"/>
    <col min="6658" max="6658" width="84.5703125" bestFit="1" customWidth="1"/>
    <col min="6659" max="6659" width="4.140625" bestFit="1" customWidth="1"/>
    <col min="6660" max="6660" width="5" bestFit="1" customWidth="1"/>
    <col min="6661" max="6661" width="4.140625" bestFit="1" customWidth="1"/>
    <col min="6662" max="6662" width="4.5703125" customWidth="1"/>
    <col min="6663" max="6663" width="5" customWidth="1"/>
    <col min="6664" max="6664" width="10" customWidth="1"/>
    <col min="6913" max="6913" width="3.85546875" customWidth="1"/>
    <col min="6914" max="6914" width="84.5703125" bestFit="1" customWidth="1"/>
    <col min="6915" max="6915" width="4.140625" bestFit="1" customWidth="1"/>
    <col min="6916" max="6916" width="5" bestFit="1" customWidth="1"/>
    <col min="6917" max="6917" width="4.140625" bestFit="1" customWidth="1"/>
    <col min="6918" max="6918" width="4.5703125" customWidth="1"/>
    <col min="6919" max="6919" width="5" customWidth="1"/>
    <col min="6920" max="6920" width="10" customWidth="1"/>
    <col min="7169" max="7169" width="3.85546875" customWidth="1"/>
    <col min="7170" max="7170" width="84.5703125" bestFit="1" customWidth="1"/>
    <col min="7171" max="7171" width="4.140625" bestFit="1" customWidth="1"/>
    <col min="7172" max="7172" width="5" bestFit="1" customWidth="1"/>
    <col min="7173" max="7173" width="4.140625" bestFit="1" customWidth="1"/>
    <col min="7174" max="7174" width="4.5703125" customWidth="1"/>
    <col min="7175" max="7175" width="5" customWidth="1"/>
    <col min="7176" max="7176" width="10" customWidth="1"/>
    <col min="7425" max="7425" width="3.85546875" customWidth="1"/>
    <col min="7426" max="7426" width="84.5703125" bestFit="1" customWidth="1"/>
    <col min="7427" max="7427" width="4.140625" bestFit="1" customWidth="1"/>
    <col min="7428" max="7428" width="5" bestFit="1" customWidth="1"/>
    <col min="7429" max="7429" width="4.140625" bestFit="1" customWidth="1"/>
    <col min="7430" max="7430" width="4.5703125" customWidth="1"/>
    <col min="7431" max="7431" width="5" customWidth="1"/>
    <col min="7432" max="7432" width="10" customWidth="1"/>
    <col min="7681" max="7681" width="3.85546875" customWidth="1"/>
    <col min="7682" max="7682" width="84.5703125" bestFit="1" customWidth="1"/>
    <col min="7683" max="7683" width="4.140625" bestFit="1" customWidth="1"/>
    <col min="7684" max="7684" width="5" bestFit="1" customWidth="1"/>
    <col min="7685" max="7685" width="4.140625" bestFit="1" customWidth="1"/>
    <col min="7686" max="7686" width="4.5703125" customWidth="1"/>
    <col min="7687" max="7687" width="5" customWidth="1"/>
    <col min="7688" max="7688" width="10" customWidth="1"/>
    <col min="7937" max="7937" width="3.85546875" customWidth="1"/>
    <col min="7938" max="7938" width="84.5703125" bestFit="1" customWidth="1"/>
    <col min="7939" max="7939" width="4.140625" bestFit="1" customWidth="1"/>
    <col min="7940" max="7940" width="5" bestFit="1" customWidth="1"/>
    <col min="7941" max="7941" width="4.140625" bestFit="1" customWidth="1"/>
    <col min="7942" max="7942" width="4.5703125" customWidth="1"/>
    <col min="7943" max="7943" width="5" customWidth="1"/>
    <col min="7944" max="7944" width="10" customWidth="1"/>
    <col min="8193" max="8193" width="3.85546875" customWidth="1"/>
    <col min="8194" max="8194" width="84.5703125" bestFit="1" customWidth="1"/>
    <col min="8195" max="8195" width="4.140625" bestFit="1" customWidth="1"/>
    <col min="8196" max="8196" width="5" bestFit="1" customWidth="1"/>
    <col min="8197" max="8197" width="4.140625" bestFit="1" customWidth="1"/>
    <col min="8198" max="8198" width="4.5703125" customWidth="1"/>
    <col min="8199" max="8199" width="5" customWidth="1"/>
    <col min="8200" max="8200" width="10" customWidth="1"/>
    <col min="8449" max="8449" width="3.85546875" customWidth="1"/>
    <col min="8450" max="8450" width="84.5703125" bestFit="1" customWidth="1"/>
    <col min="8451" max="8451" width="4.140625" bestFit="1" customWidth="1"/>
    <col min="8452" max="8452" width="5" bestFit="1" customWidth="1"/>
    <col min="8453" max="8453" width="4.140625" bestFit="1" customWidth="1"/>
    <col min="8454" max="8454" width="4.5703125" customWidth="1"/>
    <col min="8455" max="8455" width="5" customWidth="1"/>
    <col min="8456" max="8456" width="10" customWidth="1"/>
    <col min="8705" max="8705" width="3.85546875" customWidth="1"/>
    <col min="8706" max="8706" width="84.5703125" bestFit="1" customWidth="1"/>
    <col min="8707" max="8707" width="4.140625" bestFit="1" customWidth="1"/>
    <col min="8708" max="8708" width="5" bestFit="1" customWidth="1"/>
    <col min="8709" max="8709" width="4.140625" bestFit="1" customWidth="1"/>
    <col min="8710" max="8710" width="4.5703125" customWidth="1"/>
    <col min="8711" max="8711" width="5" customWidth="1"/>
    <col min="8712" max="8712" width="10" customWidth="1"/>
    <col min="8961" max="8961" width="3.85546875" customWidth="1"/>
    <col min="8962" max="8962" width="84.5703125" bestFit="1" customWidth="1"/>
    <col min="8963" max="8963" width="4.140625" bestFit="1" customWidth="1"/>
    <col min="8964" max="8964" width="5" bestFit="1" customWidth="1"/>
    <col min="8965" max="8965" width="4.140625" bestFit="1" customWidth="1"/>
    <col min="8966" max="8966" width="4.5703125" customWidth="1"/>
    <col min="8967" max="8967" width="5" customWidth="1"/>
    <col min="8968" max="8968" width="10" customWidth="1"/>
    <col min="9217" max="9217" width="3.85546875" customWidth="1"/>
    <col min="9218" max="9218" width="84.5703125" bestFit="1" customWidth="1"/>
    <col min="9219" max="9219" width="4.140625" bestFit="1" customWidth="1"/>
    <col min="9220" max="9220" width="5" bestFit="1" customWidth="1"/>
    <col min="9221" max="9221" width="4.140625" bestFit="1" customWidth="1"/>
    <col min="9222" max="9222" width="4.5703125" customWidth="1"/>
    <col min="9223" max="9223" width="5" customWidth="1"/>
    <col min="9224" max="9224" width="10" customWidth="1"/>
    <col min="9473" max="9473" width="3.85546875" customWidth="1"/>
    <col min="9474" max="9474" width="84.5703125" bestFit="1" customWidth="1"/>
    <col min="9475" max="9475" width="4.140625" bestFit="1" customWidth="1"/>
    <col min="9476" max="9476" width="5" bestFit="1" customWidth="1"/>
    <col min="9477" max="9477" width="4.140625" bestFit="1" customWidth="1"/>
    <col min="9478" max="9478" width="4.5703125" customWidth="1"/>
    <col min="9479" max="9479" width="5" customWidth="1"/>
    <col min="9480" max="9480" width="10" customWidth="1"/>
    <col min="9729" max="9729" width="3.85546875" customWidth="1"/>
    <col min="9730" max="9730" width="84.5703125" bestFit="1" customWidth="1"/>
    <col min="9731" max="9731" width="4.140625" bestFit="1" customWidth="1"/>
    <col min="9732" max="9732" width="5" bestFit="1" customWidth="1"/>
    <col min="9733" max="9733" width="4.140625" bestFit="1" customWidth="1"/>
    <col min="9734" max="9734" width="4.5703125" customWidth="1"/>
    <col min="9735" max="9735" width="5" customWidth="1"/>
    <col min="9736" max="9736" width="10" customWidth="1"/>
    <col min="9985" max="9985" width="3.85546875" customWidth="1"/>
    <col min="9986" max="9986" width="84.5703125" bestFit="1" customWidth="1"/>
    <col min="9987" max="9987" width="4.140625" bestFit="1" customWidth="1"/>
    <col min="9988" max="9988" width="5" bestFit="1" customWidth="1"/>
    <col min="9989" max="9989" width="4.140625" bestFit="1" customWidth="1"/>
    <col min="9990" max="9990" width="4.5703125" customWidth="1"/>
    <col min="9991" max="9991" width="5" customWidth="1"/>
    <col min="9992" max="9992" width="10" customWidth="1"/>
    <col min="10241" max="10241" width="3.85546875" customWidth="1"/>
    <col min="10242" max="10242" width="84.5703125" bestFit="1" customWidth="1"/>
    <col min="10243" max="10243" width="4.140625" bestFit="1" customWidth="1"/>
    <col min="10244" max="10244" width="5" bestFit="1" customWidth="1"/>
    <col min="10245" max="10245" width="4.140625" bestFit="1" customWidth="1"/>
    <col min="10246" max="10246" width="4.5703125" customWidth="1"/>
    <col min="10247" max="10247" width="5" customWidth="1"/>
    <col min="10248" max="10248" width="10" customWidth="1"/>
    <col min="10497" max="10497" width="3.85546875" customWidth="1"/>
    <col min="10498" max="10498" width="84.5703125" bestFit="1" customWidth="1"/>
    <col min="10499" max="10499" width="4.140625" bestFit="1" customWidth="1"/>
    <col min="10500" max="10500" width="5" bestFit="1" customWidth="1"/>
    <col min="10501" max="10501" width="4.140625" bestFit="1" customWidth="1"/>
    <col min="10502" max="10502" width="4.5703125" customWidth="1"/>
    <col min="10503" max="10503" width="5" customWidth="1"/>
    <col min="10504" max="10504" width="10" customWidth="1"/>
    <col min="10753" max="10753" width="3.85546875" customWidth="1"/>
    <col min="10754" max="10754" width="84.5703125" bestFit="1" customWidth="1"/>
    <col min="10755" max="10755" width="4.140625" bestFit="1" customWidth="1"/>
    <col min="10756" max="10756" width="5" bestFit="1" customWidth="1"/>
    <col min="10757" max="10757" width="4.140625" bestFit="1" customWidth="1"/>
    <col min="10758" max="10758" width="4.5703125" customWidth="1"/>
    <col min="10759" max="10759" width="5" customWidth="1"/>
    <col min="10760" max="10760" width="10" customWidth="1"/>
    <col min="11009" max="11009" width="3.85546875" customWidth="1"/>
    <col min="11010" max="11010" width="84.5703125" bestFit="1" customWidth="1"/>
    <col min="11011" max="11011" width="4.140625" bestFit="1" customWidth="1"/>
    <col min="11012" max="11012" width="5" bestFit="1" customWidth="1"/>
    <col min="11013" max="11013" width="4.140625" bestFit="1" customWidth="1"/>
    <col min="11014" max="11014" width="4.5703125" customWidth="1"/>
    <col min="11015" max="11015" width="5" customWidth="1"/>
    <col min="11016" max="11016" width="10" customWidth="1"/>
    <col min="11265" max="11265" width="3.85546875" customWidth="1"/>
    <col min="11266" max="11266" width="84.5703125" bestFit="1" customWidth="1"/>
    <col min="11267" max="11267" width="4.140625" bestFit="1" customWidth="1"/>
    <col min="11268" max="11268" width="5" bestFit="1" customWidth="1"/>
    <col min="11269" max="11269" width="4.140625" bestFit="1" customWidth="1"/>
    <col min="11270" max="11270" width="4.5703125" customWidth="1"/>
    <col min="11271" max="11271" width="5" customWidth="1"/>
    <col min="11272" max="11272" width="10" customWidth="1"/>
    <col min="11521" max="11521" width="3.85546875" customWidth="1"/>
    <col min="11522" max="11522" width="84.5703125" bestFit="1" customWidth="1"/>
    <col min="11523" max="11523" width="4.140625" bestFit="1" customWidth="1"/>
    <col min="11524" max="11524" width="5" bestFit="1" customWidth="1"/>
    <col min="11525" max="11525" width="4.140625" bestFit="1" customWidth="1"/>
    <col min="11526" max="11526" width="4.5703125" customWidth="1"/>
    <col min="11527" max="11527" width="5" customWidth="1"/>
    <col min="11528" max="11528" width="10" customWidth="1"/>
    <col min="11777" max="11777" width="3.85546875" customWidth="1"/>
    <col min="11778" max="11778" width="84.5703125" bestFit="1" customWidth="1"/>
    <col min="11779" max="11779" width="4.140625" bestFit="1" customWidth="1"/>
    <col min="11780" max="11780" width="5" bestFit="1" customWidth="1"/>
    <col min="11781" max="11781" width="4.140625" bestFit="1" customWidth="1"/>
    <col min="11782" max="11782" width="4.5703125" customWidth="1"/>
    <col min="11783" max="11783" width="5" customWidth="1"/>
    <col min="11784" max="11784" width="10" customWidth="1"/>
    <col min="12033" max="12033" width="3.85546875" customWidth="1"/>
    <col min="12034" max="12034" width="84.5703125" bestFit="1" customWidth="1"/>
    <col min="12035" max="12035" width="4.140625" bestFit="1" customWidth="1"/>
    <col min="12036" max="12036" width="5" bestFit="1" customWidth="1"/>
    <col min="12037" max="12037" width="4.140625" bestFit="1" customWidth="1"/>
    <col min="12038" max="12038" width="4.5703125" customWidth="1"/>
    <col min="12039" max="12039" width="5" customWidth="1"/>
    <col min="12040" max="12040" width="10" customWidth="1"/>
    <col min="12289" max="12289" width="3.85546875" customWidth="1"/>
    <col min="12290" max="12290" width="84.5703125" bestFit="1" customWidth="1"/>
    <col min="12291" max="12291" width="4.140625" bestFit="1" customWidth="1"/>
    <col min="12292" max="12292" width="5" bestFit="1" customWidth="1"/>
    <col min="12293" max="12293" width="4.140625" bestFit="1" customWidth="1"/>
    <col min="12294" max="12294" width="4.5703125" customWidth="1"/>
    <col min="12295" max="12295" width="5" customWidth="1"/>
    <col min="12296" max="12296" width="10" customWidth="1"/>
    <col min="12545" max="12545" width="3.85546875" customWidth="1"/>
    <col min="12546" max="12546" width="84.5703125" bestFit="1" customWidth="1"/>
    <col min="12547" max="12547" width="4.140625" bestFit="1" customWidth="1"/>
    <col min="12548" max="12548" width="5" bestFit="1" customWidth="1"/>
    <col min="12549" max="12549" width="4.140625" bestFit="1" customWidth="1"/>
    <col min="12550" max="12550" width="4.5703125" customWidth="1"/>
    <col min="12551" max="12551" width="5" customWidth="1"/>
    <col min="12552" max="12552" width="10" customWidth="1"/>
    <col min="12801" max="12801" width="3.85546875" customWidth="1"/>
    <col min="12802" max="12802" width="84.5703125" bestFit="1" customWidth="1"/>
    <col min="12803" max="12803" width="4.140625" bestFit="1" customWidth="1"/>
    <col min="12804" max="12804" width="5" bestFit="1" customWidth="1"/>
    <col min="12805" max="12805" width="4.140625" bestFit="1" customWidth="1"/>
    <col min="12806" max="12806" width="4.5703125" customWidth="1"/>
    <col min="12807" max="12807" width="5" customWidth="1"/>
    <col min="12808" max="12808" width="10" customWidth="1"/>
    <col min="13057" max="13057" width="3.85546875" customWidth="1"/>
    <col min="13058" max="13058" width="84.5703125" bestFit="1" customWidth="1"/>
    <col min="13059" max="13059" width="4.140625" bestFit="1" customWidth="1"/>
    <col min="13060" max="13060" width="5" bestFit="1" customWidth="1"/>
    <col min="13061" max="13061" width="4.140625" bestFit="1" customWidth="1"/>
    <col min="13062" max="13062" width="4.5703125" customWidth="1"/>
    <col min="13063" max="13063" width="5" customWidth="1"/>
    <col min="13064" max="13064" width="10" customWidth="1"/>
    <col min="13313" max="13313" width="3.85546875" customWidth="1"/>
    <col min="13314" max="13314" width="84.5703125" bestFit="1" customWidth="1"/>
    <col min="13315" max="13315" width="4.140625" bestFit="1" customWidth="1"/>
    <col min="13316" max="13316" width="5" bestFit="1" customWidth="1"/>
    <col min="13317" max="13317" width="4.140625" bestFit="1" customWidth="1"/>
    <col min="13318" max="13318" width="4.5703125" customWidth="1"/>
    <col min="13319" max="13319" width="5" customWidth="1"/>
    <col min="13320" max="13320" width="10" customWidth="1"/>
    <col min="13569" max="13569" width="3.85546875" customWidth="1"/>
    <col min="13570" max="13570" width="84.5703125" bestFit="1" customWidth="1"/>
    <col min="13571" max="13571" width="4.140625" bestFit="1" customWidth="1"/>
    <col min="13572" max="13572" width="5" bestFit="1" customWidth="1"/>
    <col min="13573" max="13573" width="4.140625" bestFit="1" customWidth="1"/>
    <col min="13574" max="13574" width="4.5703125" customWidth="1"/>
    <col min="13575" max="13575" width="5" customWidth="1"/>
    <col min="13576" max="13576" width="10" customWidth="1"/>
    <col min="13825" max="13825" width="3.85546875" customWidth="1"/>
    <col min="13826" max="13826" width="84.5703125" bestFit="1" customWidth="1"/>
    <col min="13827" max="13827" width="4.140625" bestFit="1" customWidth="1"/>
    <col min="13828" max="13828" width="5" bestFit="1" customWidth="1"/>
    <col min="13829" max="13829" width="4.140625" bestFit="1" customWidth="1"/>
    <col min="13830" max="13830" width="4.5703125" customWidth="1"/>
    <col min="13831" max="13831" width="5" customWidth="1"/>
    <col min="13832" max="13832" width="10" customWidth="1"/>
    <col min="14081" max="14081" width="3.85546875" customWidth="1"/>
    <col min="14082" max="14082" width="84.5703125" bestFit="1" customWidth="1"/>
    <col min="14083" max="14083" width="4.140625" bestFit="1" customWidth="1"/>
    <col min="14084" max="14084" width="5" bestFit="1" customWidth="1"/>
    <col min="14085" max="14085" width="4.140625" bestFit="1" customWidth="1"/>
    <col min="14086" max="14086" width="4.5703125" customWidth="1"/>
    <col min="14087" max="14087" width="5" customWidth="1"/>
    <col min="14088" max="14088" width="10" customWidth="1"/>
    <col min="14337" max="14337" width="3.85546875" customWidth="1"/>
    <col min="14338" max="14338" width="84.5703125" bestFit="1" customWidth="1"/>
    <col min="14339" max="14339" width="4.140625" bestFit="1" customWidth="1"/>
    <col min="14340" max="14340" width="5" bestFit="1" customWidth="1"/>
    <col min="14341" max="14341" width="4.140625" bestFit="1" customWidth="1"/>
    <col min="14342" max="14342" width="4.5703125" customWidth="1"/>
    <col min="14343" max="14343" width="5" customWidth="1"/>
    <col min="14344" max="14344" width="10" customWidth="1"/>
    <col min="14593" max="14593" width="3.85546875" customWidth="1"/>
    <col min="14594" max="14594" width="84.5703125" bestFit="1" customWidth="1"/>
    <col min="14595" max="14595" width="4.140625" bestFit="1" customWidth="1"/>
    <col min="14596" max="14596" width="5" bestFit="1" customWidth="1"/>
    <col min="14597" max="14597" width="4.140625" bestFit="1" customWidth="1"/>
    <col min="14598" max="14598" width="4.5703125" customWidth="1"/>
    <col min="14599" max="14599" width="5" customWidth="1"/>
    <col min="14600" max="14600" width="10" customWidth="1"/>
    <col min="14849" max="14849" width="3.85546875" customWidth="1"/>
    <col min="14850" max="14850" width="84.5703125" bestFit="1" customWidth="1"/>
    <col min="14851" max="14851" width="4.140625" bestFit="1" customWidth="1"/>
    <col min="14852" max="14852" width="5" bestFit="1" customWidth="1"/>
    <col min="14853" max="14853" width="4.140625" bestFit="1" customWidth="1"/>
    <col min="14854" max="14854" width="4.5703125" customWidth="1"/>
    <col min="14855" max="14855" width="5" customWidth="1"/>
    <col min="14856" max="14856" width="10" customWidth="1"/>
    <col min="15105" max="15105" width="3.85546875" customWidth="1"/>
    <col min="15106" max="15106" width="84.5703125" bestFit="1" customWidth="1"/>
    <col min="15107" max="15107" width="4.140625" bestFit="1" customWidth="1"/>
    <col min="15108" max="15108" width="5" bestFit="1" customWidth="1"/>
    <col min="15109" max="15109" width="4.140625" bestFit="1" customWidth="1"/>
    <col min="15110" max="15110" width="4.5703125" customWidth="1"/>
    <col min="15111" max="15111" width="5" customWidth="1"/>
    <col min="15112" max="15112" width="10" customWidth="1"/>
    <col min="15361" max="15361" width="3.85546875" customWidth="1"/>
    <col min="15362" max="15362" width="84.5703125" bestFit="1" customWidth="1"/>
    <col min="15363" max="15363" width="4.140625" bestFit="1" customWidth="1"/>
    <col min="15364" max="15364" width="5" bestFit="1" customWidth="1"/>
    <col min="15365" max="15365" width="4.140625" bestFit="1" customWidth="1"/>
    <col min="15366" max="15366" width="4.5703125" customWidth="1"/>
    <col min="15367" max="15367" width="5" customWidth="1"/>
    <col min="15368" max="15368" width="10" customWidth="1"/>
    <col min="15617" max="15617" width="3.85546875" customWidth="1"/>
    <col min="15618" max="15618" width="84.5703125" bestFit="1" customWidth="1"/>
    <col min="15619" max="15619" width="4.140625" bestFit="1" customWidth="1"/>
    <col min="15620" max="15620" width="5" bestFit="1" customWidth="1"/>
    <col min="15621" max="15621" width="4.140625" bestFit="1" customWidth="1"/>
    <col min="15622" max="15622" width="4.5703125" customWidth="1"/>
    <col min="15623" max="15623" width="5" customWidth="1"/>
    <col min="15624" max="15624" width="10" customWidth="1"/>
    <col min="15873" max="15873" width="3.85546875" customWidth="1"/>
    <col min="15874" max="15874" width="84.5703125" bestFit="1" customWidth="1"/>
    <col min="15875" max="15875" width="4.140625" bestFit="1" customWidth="1"/>
    <col min="15876" max="15876" width="5" bestFit="1" customWidth="1"/>
    <col min="15877" max="15877" width="4.140625" bestFit="1" customWidth="1"/>
    <col min="15878" max="15878" width="4.5703125" customWidth="1"/>
    <col min="15879" max="15879" width="5" customWidth="1"/>
    <col min="15880" max="15880" width="10" customWidth="1"/>
    <col min="16129" max="16129" width="3.85546875" customWidth="1"/>
    <col min="16130" max="16130" width="84.5703125" bestFit="1" customWidth="1"/>
    <col min="16131" max="16131" width="4.140625" bestFit="1" customWidth="1"/>
    <col min="16132" max="16132" width="5" bestFit="1" customWidth="1"/>
    <col min="16133" max="16133" width="4.140625" bestFit="1" customWidth="1"/>
    <col min="16134" max="16134" width="4.5703125" customWidth="1"/>
    <col min="16135" max="16135" width="5" customWidth="1"/>
    <col min="16136" max="16136" width="10" customWidth="1"/>
  </cols>
  <sheetData>
    <row r="1" spans="1:9" ht="18.75" x14ac:dyDescent="0.3">
      <c r="A1" s="6" t="s">
        <v>30</v>
      </c>
      <c r="B1" s="6"/>
      <c r="C1" s="6"/>
      <c r="D1" s="6"/>
      <c r="E1" s="6"/>
      <c r="F1" s="6"/>
      <c r="G1" s="6"/>
      <c r="H1" s="6"/>
    </row>
    <row r="2" spans="1:9" s="1" customFormat="1" x14ac:dyDescent="0.25">
      <c r="C2" s="7" t="s">
        <v>0</v>
      </c>
      <c r="D2" s="8"/>
      <c r="F2" s="1" t="s">
        <v>1</v>
      </c>
      <c r="G2" s="1">
        <v>1</v>
      </c>
    </row>
    <row r="3" spans="1:9" s="1" customFormat="1" x14ac:dyDescent="0.25">
      <c r="B3" s="2" t="s">
        <v>2</v>
      </c>
      <c r="C3" s="2" t="s">
        <v>3</v>
      </c>
      <c r="D3" s="2" t="s">
        <v>4</v>
      </c>
    </row>
    <row r="4" spans="1:9" x14ac:dyDescent="0.25">
      <c r="A4" s="3"/>
      <c r="B4" s="3" t="s">
        <v>5</v>
      </c>
      <c r="C4" s="3">
        <f>COUNT(H13,H16,H14,H15,H18)</f>
        <v>5</v>
      </c>
      <c r="D4" s="3">
        <f>SUM(H13,H14,H15,H16,H18)</f>
        <v>22</v>
      </c>
      <c r="F4" t="s">
        <v>6</v>
      </c>
      <c r="I4" t="str">
        <f>B12</f>
        <v>Solicitar las llaves del gabinete de la tragamonedas en la caja del cajero</v>
      </c>
    </row>
    <row r="5" spans="1:9" x14ac:dyDescent="0.25">
      <c r="A5" s="3"/>
      <c r="B5" s="3" t="s">
        <v>7</v>
      </c>
      <c r="C5" s="3">
        <f>COUNT(H17)</f>
        <v>1</v>
      </c>
      <c r="D5" s="3">
        <f>H17</f>
        <v>10</v>
      </c>
      <c r="F5" t="s">
        <v>8</v>
      </c>
      <c r="I5" t="str">
        <f>B19</f>
        <v>Guardar los cubos bajo llave en la sala de conteo</v>
      </c>
    </row>
    <row r="6" spans="1:9" x14ac:dyDescent="0.25">
      <c r="A6" s="3"/>
      <c r="B6" s="3" t="s">
        <v>9</v>
      </c>
      <c r="C6" s="3">
        <f>COUNT(H12)</f>
        <v>1</v>
      </c>
      <c r="D6" s="3">
        <f>H12</f>
        <v>15</v>
      </c>
      <c r="F6" t="s">
        <v>20</v>
      </c>
      <c r="I6" t="s">
        <v>48</v>
      </c>
    </row>
    <row r="7" spans="1:9" x14ac:dyDescent="0.25">
      <c r="A7" s="3"/>
      <c r="B7" s="3" t="s">
        <v>10</v>
      </c>
      <c r="C7" s="3"/>
      <c r="D7" s="3"/>
      <c r="F7" t="s">
        <v>11</v>
      </c>
      <c r="I7" s="5">
        <v>45658</v>
      </c>
    </row>
    <row r="8" spans="1:9" x14ac:dyDescent="0.25">
      <c r="A8" s="3"/>
      <c r="B8" s="3" t="s">
        <v>12</v>
      </c>
      <c r="C8" s="3">
        <f>COUNT(H19)</f>
        <v>1</v>
      </c>
      <c r="D8" s="3">
        <f>H19</f>
        <v>30</v>
      </c>
    </row>
    <row r="9" spans="1:9" s="1" customFormat="1" x14ac:dyDescent="0.25">
      <c r="A9" s="2"/>
      <c r="B9" s="2" t="s">
        <v>13</v>
      </c>
      <c r="C9" s="2"/>
      <c r="D9" s="2">
        <f>SUM(D4:D8)</f>
        <v>77</v>
      </c>
    </row>
    <row r="11" spans="1:9" s="1" customFormat="1" x14ac:dyDescent="0.25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22</v>
      </c>
    </row>
    <row r="12" spans="1:9" x14ac:dyDescent="0.25">
      <c r="A12" s="3">
        <v>1</v>
      </c>
      <c r="B12" s="3" t="s">
        <v>21</v>
      </c>
      <c r="C12" s="4"/>
      <c r="D12" s="4"/>
      <c r="E12" s="4"/>
      <c r="F12" s="4"/>
      <c r="G12" s="3"/>
      <c r="H12" s="3">
        <v>15</v>
      </c>
    </row>
    <row r="13" spans="1:9" x14ac:dyDescent="0.25">
      <c r="A13" s="3">
        <v>2</v>
      </c>
      <c r="B13" s="3" t="s">
        <v>23</v>
      </c>
      <c r="C13" s="4"/>
      <c r="D13" s="4"/>
      <c r="E13" s="4"/>
      <c r="F13" s="4"/>
      <c r="G13" s="3"/>
      <c r="H13" s="3">
        <v>1</v>
      </c>
    </row>
    <row r="14" spans="1:9" x14ac:dyDescent="0.25">
      <c r="A14" s="3">
        <v>3</v>
      </c>
      <c r="B14" s="3" t="s">
        <v>24</v>
      </c>
      <c r="C14" s="4"/>
      <c r="D14" s="4"/>
      <c r="E14" s="4"/>
      <c r="F14" s="4"/>
      <c r="G14" s="3"/>
      <c r="H14" s="3">
        <v>10</v>
      </c>
    </row>
    <row r="15" spans="1:9" x14ac:dyDescent="0.25">
      <c r="A15" s="3">
        <v>4</v>
      </c>
      <c r="B15" s="3" t="s">
        <v>25</v>
      </c>
      <c r="C15" s="4"/>
      <c r="D15" s="4"/>
      <c r="E15" s="4"/>
      <c r="F15" s="4"/>
      <c r="G15" s="3"/>
      <c r="H15" s="3">
        <v>1</v>
      </c>
    </row>
    <row r="16" spans="1:9" x14ac:dyDescent="0.25">
      <c r="A16" s="3">
        <v>5</v>
      </c>
      <c r="B16" s="3" t="s">
        <v>26</v>
      </c>
      <c r="C16" s="4"/>
      <c r="D16" s="4"/>
      <c r="E16" s="4"/>
      <c r="F16" s="4"/>
      <c r="G16" s="3"/>
      <c r="H16" s="3">
        <v>5</v>
      </c>
    </row>
    <row r="17" spans="1:8" x14ac:dyDescent="0.25">
      <c r="A17" s="3">
        <v>6</v>
      </c>
      <c r="B17" s="3" t="s">
        <v>27</v>
      </c>
      <c r="C17" s="4"/>
      <c r="D17" s="4"/>
      <c r="E17" s="4"/>
      <c r="F17" s="4"/>
      <c r="G17" s="3"/>
      <c r="H17" s="3">
        <v>10</v>
      </c>
    </row>
    <row r="18" spans="1:8" x14ac:dyDescent="0.25">
      <c r="A18" s="3">
        <v>7</v>
      </c>
      <c r="B18" s="3" t="s">
        <v>28</v>
      </c>
      <c r="C18" s="4"/>
      <c r="D18" s="4"/>
      <c r="E18" s="4"/>
      <c r="F18" s="4"/>
      <c r="G18" s="3"/>
      <c r="H18" s="3">
        <v>5</v>
      </c>
    </row>
    <row r="19" spans="1:8" x14ac:dyDescent="0.25">
      <c r="A19" s="3">
        <v>8</v>
      </c>
      <c r="B19" s="3" t="s">
        <v>29</v>
      </c>
      <c r="C19" s="4"/>
      <c r="D19" s="4"/>
      <c r="E19" s="4"/>
      <c r="F19" s="4"/>
      <c r="G19" s="3"/>
      <c r="H19" s="3">
        <v>30</v>
      </c>
    </row>
    <row r="20" spans="1:8" s="1" customFormat="1" x14ac:dyDescent="0.25">
      <c r="B20" s="2" t="s">
        <v>13</v>
      </c>
      <c r="C20" s="2"/>
      <c r="D20" s="2"/>
      <c r="E20" s="2"/>
      <c r="F20" s="2"/>
      <c r="G20" s="2"/>
      <c r="H20" s="2">
        <f>SUM(H12:H19)</f>
        <v>77</v>
      </c>
    </row>
  </sheetData>
  <mergeCells count="2">
    <mergeCell ref="A1:H1"/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D93A-CC72-4E57-8C22-093D41ACF821}">
  <dimension ref="A1:I28"/>
  <sheetViews>
    <sheetView tabSelected="1" workbookViewId="0">
      <selection activeCell="I34" sqref="I34"/>
    </sheetView>
  </sheetViews>
  <sheetFormatPr baseColWidth="10" defaultRowHeight="15" x14ac:dyDescent="0.25"/>
  <cols>
    <col min="1" max="1" width="3.85546875" customWidth="1"/>
    <col min="2" max="2" width="84.5703125" bestFit="1" customWidth="1"/>
    <col min="3" max="3" width="4.140625" bestFit="1" customWidth="1"/>
    <col min="4" max="4" width="5" bestFit="1" customWidth="1"/>
    <col min="5" max="5" width="4.140625" bestFit="1" customWidth="1"/>
    <col min="6" max="6" width="4.5703125" customWidth="1"/>
    <col min="7" max="7" width="5" customWidth="1"/>
    <col min="8" max="8" width="12.28515625" bestFit="1" customWidth="1"/>
    <col min="257" max="257" width="3.85546875" customWidth="1"/>
    <col min="258" max="258" width="84.5703125" bestFit="1" customWidth="1"/>
    <col min="259" max="259" width="4.140625" bestFit="1" customWidth="1"/>
    <col min="260" max="260" width="5" bestFit="1" customWidth="1"/>
    <col min="261" max="261" width="4.140625" bestFit="1" customWidth="1"/>
    <col min="262" max="262" width="4.5703125" customWidth="1"/>
    <col min="263" max="263" width="5" customWidth="1"/>
    <col min="264" max="264" width="10" customWidth="1"/>
    <col min="513" max="513" width="3.85546875" customWidth="1"/>
    <col min="514" max="514" width="84.5703125" bestFit="1" customWidth="1"/>
    <col min="515" max="515" width="4.140625" bestFit="1" customWidth="1"/>
    <col min="516" max="516" width="5" bestFit="1" customWidth="1"/>
    <col min="517" max="517" width="4.140625" bestFit="1" customWidth="1"/>
    <col min="518" max="518" width="4.5703125" customWidth="1"/>
    <col min="519" max="519" width="5" customWidth="1"/>
    <col min="520" max="520" width="10" customWidth="1"/>
    <col min="769" max="769" width="3.85546875" customWidth="1"/>
    <col min="770" max="770" width="84.5703125" bestFit="1" customWidth="1"/>
    <col min="771" max="771" width="4.140625" bestFit="1" customWidth="1"/>
    <col min="772" max="772" width="5" bestFit="1" customWidth="1"/>
    <col min="773" max="773" width="4.140625" bestFit="1" customWidth="1"/>
    <col min="774" max="774" width="4.5703125" customWidth="1"/>
    <col min="775" max="775" width="5" customWidth="1"/>
    <col min="776" max="776" width="10" customWidth="1"/>
    <col min="1025" max="1025" width="3.85546875" customWidth="1"/>
    <col min="1026" max="1026" width="84.5703125" bestFit="1" customWidth="1"/>
    <col min="1027" max="1027" width="4.140625" bestFit="1" customWidth="1"/>
    <col min="1028" max="1028" width="5" bestFit="1" customWidth="1"/>
    <col min="1029" max="1029" width="4.140625" bestFit="1" customWidth="1"/>
    <col min="1030" max="1030" width="4.5703125" customWidth="1"/>
    <col min="1031" max="1031" width="5" customWidth="1"/>
    <col min="1032" max="1032" width="10" customWidth="1"/>
    <col min="1281" max="1281" width="3.85546875" customWidth="1"/>
    <col min="1282" max="1282" width="84.5703125" bestFit="1" customWidth="1"/>
    <col min="1283" max="1283" width="4.140625" bestFit="1" customWidth="1"/>
    <col min="1284" max="1284" width="5" bestFit="1" customWidth="1"/>
    <col min="1285" max="1285" width="4.140625" bestFit="1" customWidth="1"/>
    <col min="1286" max="1286" width="4.5703125" customWidth="1"/>
    <col min="1287" max="1287" width="5" customWidth="1"/>
    <col min="1288" max="1288" width="10" customWidth="1"/>
    <col min="1537" max="1537" width="3.85546875" customWidth="1"/>
    <col min="1538" max="1538" width="84.5703125" bestFit="1" customWidth="1"/>
    <col min="1539" max="1539" width="4.140625" bestFit="1" customWidth="1"/>
    <col min="1540" max="1540" width="5" bestFit="1" customWidth="1"/>
    <col min="1541" max="1541" width="4.140625" bestFit="1" customWidth="1"/>
    <col min="1542" max="1542" width="4.5703125" customWidth="1"/>
    <col min="1543" max="1543" width="5" customWidth="1"/>
    <col min="1544" max="1544" width="10" customWidth="1"/>
    <col min="1793" max="1793" width="3.85546875" customWidth="1"/>
    <col min="1794" max="1794" width="84.5703125" bestFit="1" customWidth="1"/>
    <col min="1795" max="1795" width="4.140625" bestFit="1" customWidth="1"/>
    <col min="1796" max="1796" width="5" bestFit="1" customWidth="1"/>
    <col min="1797" max="1797" width="4.140625" bestFit="1" customWidth="1"/>
    <col min="1798" max="1798" width="4.5703125" customWidth="1"/>
    <col min="1799" max="1799" width="5" customWidth="1"/>
    <col min="1800" max="1800" width="10" customWidth="1"/>
    <col min="2049" max="2049" width="3.85546875" customWidth="1"/>
    <col min="2050" max="2050" width="84.5703125" bestFit="1" customWidth="1"/>
    <col min="2051" max="2051" width="4.140625" bestFit="1" customWidth="1"/>
    <col min="2052" max="2052" width="5" bestFit="1" customWidth="1"/>
    <col min="2053" max="2053" width="4.140625" bestFit="1" customWidth="1"/>
    <col min="2054" max="2054" width="4.5703125" customWidth="1"/>
    <col min="2055" max="2055" width="5" customWidth="1"/>
    <col min="2056" max="2056" width="10" customWidth="1"/>
    <col min="2305" max="2305" width="3.85546875" customWidth="1"/>
    <col min="2306" max="2306" width="84.5703125" bestFit="1" customWidth="1"/>
    <col min="2307" max="2307" width="4.140625" bestFit="1" customWidth="1"/>
    <col min="2308" max="2308" width="5" bestFit="1" customWidth="1"/>
    <col min="2309" max="2309" width="4.140625" bestFit="1" customWidth="1"/>
    <col min="2310" max="2310" width="4.5703125" customWidth="1"/>
    <col min="2311" max="2311" width="5" customWidth="1"/>
    <col min="2312" max="2312" width="10" customWidth="1"/>
    <col min="2561" max="2561" width="3.85546875" customWidth="1"/>
    <col min="2562" max="2562" width="84.5703125" bestFit="1" customWidth="1"/>
    <col min="2563" max="2563" width="4.140625" bestFit="1" customWidth="1"/>
    <col min="2564" max="2564" width="5" bestFit="1" customWidth="1"/>
    <col min="2565" max="2565" width="4.140625" bestFit="1" customWidth="1"/>
    <col min="2566" max="2566" width="4.5703125" customWidth="1"/>
    <col min="2567" max="2567" width="5" customWidth="1"/>
    <col min="2568" max="2568" width="10" customWidth="1"/>
    <col min="2817" max="2817" width="3.85546875" customWidth="1"/>
    <col min="2818" max="2818" width="84.5703125" bestFit="1" customWidth="1"/>
    <col min="2819" max="2819" width="4.140625" bestFit="1" customWidth="1"/>
    <col min="2820" max="2820" width="5" bestFit="1" customWidth="1"/>
    <col min="2821" max="2821" width="4.140625" bestFit="1" customWidth="1"/>
    <col min="2822" max="2822" width="4.5703125" customWidth="1"/>
    <col min="2823" max="2823" width="5" customWidth="1"/>
    <col min="2824" max="2824" width="10" customWidth="1"/>
    <col min="3073" max="3073" width="3.85546875" customWidth="1"/>
    <col min="3074" max="3074" width="84.5703125" bestFit="1" customWidth="1"/>
    <col min="3075" max="3075" width="4.140625" bestFit="1" customWidth="1"/>
    <col min="3076" max="3076" width="5" bestFit="1" customWidth="1"/>
    <col min="3077" max="3077" width="4.140625" bestFit="1" customWidth="1"/>
    <col min="3078" max="3078" width="4.5703125" customWidth="1"/>
    <col min="3079" max="3079" width="5" customWidth="1"/>
    <col min="3080" max="3080" width="10" customWidth="1"/>
    <col min="3329" max="3329" width="3.85546875" customWidth="1"/>
    <col min="3330" max="3330" width="84.5703125" bestFit="1" customWidth="1"/>
    <col min="3331" max="3331" width="4.140625" bestFit="1" customWidth="1"/>
    <col min="3332" max="3332" width="5" bestFit="1" customWidth="1"/>
    <col min="3333" max="3333" width="4.140625" bestFit="1" customWidth="1"/>
    <col min="3334" max="3334" width="4.5703125" customWidth="1"/>
    <col min="3335" max="3335" width="5" customWidth="1"/>
    <col min="3336" max="3336" width="10" customWidth="1"/>
    <col min="3585" max="3585" width="3.85546875" customWidth="1"/>
    <col min="3586" max="3586" width="84.5703125" bestFit="1" customWidth="1"/>
    <col min="3587" max="3587" width="4.140625" bestFit="1" customWidth="1"/>
    <col min="3588" max="3588" width="5" bestFit="1" customWidth="1"/>
    <col min="3589" max="3589" width="4.140625" bestFit="1" customWidth="1"/>
    <col min="3590" max="3590" width="4.5703125" customWidth="1"/>
    <col min="3591" max="3591" width="5" customWidth="1"/>
    <col min="3592" max="3592" width="10" customWidth="1"/>
    <col min="3841" max="3841" width="3.85546875" customWidth="1"/>
    <col min="3842" max="3842" width="84.5703125" bestFit="1" customWidth="1"/>
    <col min="3843" max="3843" width="4.140625" bestFit="1" customWidth="1"/>
    <col min="3844" max="3844" width="5" bestFit="1" customWidth="1"/>
    <col min="3845" max="3845" width="4.140625" bestFit="1" customWidth="1"/>
    <col min="3846" max="3846" width="4.5703125" customWidth="1"/>
    <col min="3847" max="3847" width="5" customWidth="1"/>
    <col min="3848" max="3848" width="10" customWidth="1"/>
    <col min="4097" max="4097" width="3.85546875" customWidth="1"/>
    <col min="4098" max="4098" width="84.5703125" bestFit="1" customWidth="1"/>
    <col min="4099" max="4099" width="4.140625" bestFit="1" customWidth="1"/>
    <col min="4100" max="4100" width="5" bestFit="1" customWidth="1"/>
    <col min="4101" max="4101" width="4.140625" bestFit="1" customWidth="1"/>
    <col min="4102" max="4102" width="4.5703125" customWidth="1"/>
    <col min="4103" max="4103" width="5" customWidth="1"/>
    <col min="4104" max="4104" width="10" customWidth="1"/>
    <col min="4353" max="4353" width="3.85546875" customWidth="1"/>
    <col min="4354" max="4354" width="84.5703125" bestFit="1" customWidth="1"/>
    <col min="4355" max="4355" width="4.140625" bestFit="1" customWidth="1"/>
    <col min="4356" max="4356" width="5" bestFit="1" customWidth="1"/>
    <col min="4357" max="4357" width="4.140625" bestFit="1" customWidth="1"/>
    <col min="4358" max="4358" width="4.5703125" customWidth="1"/>
    <col min="4359" max="4359" width="5" customWidth="1"/>
    <col min="4360" max="4360" width="10" customWidth="1"/>
    <col min="4609" max="4609" width="3.85546875" customWidth="1"/>
    <col min="4610" max="4610" width="84.5703125" bestFit="1" customWidth="1"/>
    <col min="4611" max="4611" width="4.140625" bestFit="1" customWidth="1"/>
    <col min="4612" max="4612" width="5" bestFit="1" customWidth="1"/>
    <col min="4613" max="4613" width="4.140625" bestFit="1" customWidth="1"/>
    <col min="4614" max="4614" width="4.5703125" customWidth="1"/>
    <col min="4615" max="4615" width="5" customWidth="1"/>
    <col min="4616" max="4616" width="10" customWidth="1"/>
    <col min="4865" max="4865" width="3.85546875" customWidth="1"/>
    <col min="4866" max="4866" width="84.5703125" bestFit="1" customWidth="1"/>
    <col min="4867" max="4867" width="4.140625" bestFit="1" customWidth="1"/>
    <col min="4868" max="4868" width="5" bestFit="1" customWidth="1"/>
    <col min="4869" max="4869" width="4.140625" bestFit="1" customWidth="1"/>
    <col min="4870" max="4870" width="4.5703125" customWidth="1"/>
    <col min="4871" max="4871" width="5" customWidth="1"/>
    <col min="4872" max="4872" width="10" customWidth="1"/>
    <col min="5121" max="5121" width="3.85546875" customWidth="1"/>
    <col min="5122" max="5122" width="84.5703125" bestFit="1" customWidth="1"/>
    <col min="5123" max="5123" width="4.140625" bestFit="1" customWidth="1"/>
    <col min="5124" max="5124" width="5" bestFit="1" customWidth="1"/>
    <col min="5125" max="5125" width="4.140625" bestFit="1" customWidth="1"/>
    <col min="5126" max="5126" width="4.5703125" customWidth="1"/>
    <col min="5127" max="5127" width="5" customWidth="1"/>
    <col min="5128" max="5128" width="10" customWidth="1"/>
    <col min="5377" max="5377" width="3.85546875" customWidth="1"/>
    <col min="5378" max="5378" width="84.5703125" bestFit="1" customWidth="1"/>
    <col min="5379" max="5379" width="4.140625" bestFit="1" customWidth="1"/>
    <col min="5380" max="5380" width="5" bestFit="1" customWidth="1"/>
    <col min="5381" max="5381" width="4.140625" bestFit="1" customWidth="1"/>
    <col min="5382" max="5382" width="4.5703125" customWidth="1"/>
    <col min="5383" max="5383" width="5" customWidth="1"/>
    <col min="5384" max="5384" width="10" customWidth="1"/>
    <col min="5633" max="5633" width="3.85546875" customWidth="1"/>
    <col min="5634" max="5634" width="84.5703125" bestFit="1" customWidth="1"/>
    <col min="5635" max="5635" width="4.140625" bestFit="1" customWidth="1"/>
    <col min="5636" max="5636" width="5" bestFit="1" customWidth="1"/>
    <col min="5637" max="5637" width="4.140625" bestFit="1" customWidth="1"/>
    <col min="5638" max="5638" width="4.5703125" customWidth="1"/>
    <col min="5639" max="5639" width="5" customWidth="1"/>
    <col min="5640" max="5640" width="10" customWidth="1"/>
    <col min="5889" max="5889" width="3.85546875" customWidth="1"/>
    <col min="5890" max="5890" width="84.5703125" bestFit="1" customWidth="1"/>
    <col min="5891" max="5891" width="4.140625" bestFit="1" customWidth="1"/>
    <col min="5892" max="5892" width="5" bestFit="1" customWidth="1"/>
    <col min="5893" max="5893" width="4.140625" bestFit="1" customWidth="1"/>
    <col min="5894" max="5894" width="4.5703125" customWidth="1"/>
    <col min="5895" max="5895" width="5" customWidth="1"/>
    <col min="5896" max="5896" width="10" customWidth="1"/>
    <col min="6145" max="6145" width="3.85546875" customWidth="1"/>
    <col min="6146" max="6146" width="84.5703125" bestFit="1" customWidth="1"/>
    <col min="6147" max="6147" width="4.140625" bestFit="1" customWidth="1"/>
    <col min="6148" max="6148" width="5" bestFit="1" customWidth="1"/>
    <col min="6149" max="6149" width="4.140625" bestFit="1" customWidth="1"/>
    <col min="6150" max="6150" width="4.5703125" customWidth="1"/>
    <col min="6151" max="6151" width="5" customWidth="1"/>
    <col min="6152" max="6152" width="10" customWidth="1"/>
    <col min="6401" max="6401" width="3.85546875" customWidth="1"/>
    <col min="6402" max="6402" width="84.5703125" bestFit="1" customWidth="1"/>
    <col min="6403" max="6403" width="4.140625" bestFit="1" customWidth="1"/>
    <col min="6404" max="6404" width="5" bestFit="1" customWidth="1"/>
    <col min="6405" max="6405" width="4.140625" bestFit="1" customWidth="1"/>
    <col min="6406" max="6406" width="4.5703125" customWidth="1"/>
    <col min="6407" max="6407" width="5" customWidth="1"/>
    <col min="6408" max="6408" width="10" customWidth="1"/>
    <col min="6657" max="6657" width="3.85546875" customWidth="1"/>
    <col min="6658" max="6658" width="84.5703125" bestFit="1" customWidth="1"/>
    <col min="6659" max="6659" width="4.140625" bestFit="1" customWidth="1"/>
    <col min="6660" max="6660" width="5" bestFit="1" customWidth="1"/>
    <col min="6661" max="6661" width="4.140625" bestFit="1" customWidth="1"/>
    <col min="6662" max="6662" width="4.5703125" customWidth="1"/>
    <col min="6663" max="6663" width="5" customWidth="1"/>
    <col min="6664" max="6664" width="10" customWidth="1"/>
    <col min="6913" max="6913" width="3.85546875" customWidth="1"/>
    <col min="6914" max="6914" width="84.5703125" bestFit="1" customWidth="1"/>
    <col min="6915" max="6915" width="4.140625" bestFit="1" customWidth="1"/>
    <col min="6916" max="6916" width="5" bestFit="1" customWidth="1"/>
    <col min="6917" max="6917" width="4.140625" bestFit="1" customWidth="1"/>
    <col min="6918" max="6918" width="4.5703125" customWidth="1"/>
    <col min="6919" max="6919" width="5" customWidth="1"/>
    <col min="6920" max="6920" width="10" customWidth="1"/>
    <col min="7169" max="7169" width="3.85546875" customWidth="1"/>
    <col min="7170" max="7170" width="84.5703125" bestFit="1" customWidth="1"/>
    <col min="7171" max="7171" width="4.140625" bestFit="1" customWidth="1"/>
    <col min="7172" max="7172" width="5" bestFit="1" customWidth="1"/>
    <col min="7173" max="7173" width="4.140625" bestFit="1" customWidth="1"/>
    <col min="7174" max="7174" width="4.5703125" customWidth="1"/>
    <col min="7175" max="7175" width="5" customWidth="1"/>
    <col min="7176" max="7176" width="10" customWidth="1"/>
    <col min="7425" max="7425" width="3.85546875" customWidth="1"/>
    <col min="7426" max="7426" width="84.5703125" bestFit="1" customWidth="1"/>
    <col min="7427" max="7427" width="4.140625" bestFit="1" customWidth="1"/>
    <col min="7428" max="7428" width="5" bestFit="1" customWidth="1"/>
    <col min="7429" max="7429" width="4.140625" bestFit="1" customWidth="1"/>
    <col min="7430" max="7430" width="4.5703125" customWidth="1"/>
    <col min="7431" max="7431" width="5" customWidth="1"/>
    <col min="7432" max="7432" width="10" customWidth="1"/>
    <col min="7681" max="7681" width="3.85546875" customWidth="1"/>
    <col min="7682" max="7682" width="84.5703125" bestFit="1" customWidth="1"/>
    <col min="7683" max="7683" width="4.140625" bestFit="1" customWidth="1"/>
    <col min="7684" max="7684" width="5" bestFit="1" customWidth="1"/>
    <col min="7685" max="7685" width="4.140625" bestFit="1" customWidth="1"/>
    <col min="7686" max="7686" width="4.5703125" customWidth="1"/>
    <col min="7687" max="7687" width="5" customWidth="1"/>
    <col min="7688" max="7688" width="10" customWidth="1"/>
    <col min="7937" max="7937" width="3.85546875" customWidth="1"/>
    <col min="7938" max="7938" width="84.5703125" bestFit="1" customWidth="1"/>
    <col min="7939" max="7939" width="4.140625" bestFit="1" customWidth="1"/>
    <col min="7940" max="7940" width="5" bestFit="1" customWidth="1"/>
    <col min="7941" max="7941" width="4.140625" bestFit="1" customWidth="1"/>
    <col min="7942" max="7942" width="4.5703125" customWidth="1"/>
    <col min="7943" max="7943" width="5" customWidth="1"/>
    <col min="7944" max="7944" width="10" customWidth="1"/>
    <col min="8193" max="8193" width="3.85546875" customWidth="1"/>
    <col min="8194" max="8194" width="84.5703125" bestFit="1" customWidth="1"/>
    <col min="8195" max="8195" width="4.140625" bestFit="1" customWidth="1"/>
    <col min="8196" max="8196" width="5" bestFit="1" customWidth="1"/>
    <col min="8197" max="8197" width="4.140625" bestFit="1" customWidth="1"/>
    <col min="8198" max="8198" width="4.5703125" customWidth="1"/>
    <col min="8199" max="8199" width="5" customWidth="1"/>
    <col min="8200" max="8200" width="10" customWidth="1"/>
    <col min="8449" max="8449" width="3.85546875" customWidth="1"/>
    <col min="8450" max="8450" width="84.5703125" bestFit="1" customWidth="1"/>
    <col min="8451" max="8451" width="4.140625" bestFit="1" customWidth="1"/>
    <col min="8452" max="8452" width="5" bestFit="1" customWidth="1"/>
    <col min="8453" max="8453" width="4.140625" bestFit="1" customWidth="1"/>
    <col min="8454" max="8454" width="4.5703125" customWidth="1"/>
    <col min="8455" max="8455" width="5" customWidth="1"/>
    <col min="8456" max="8456" width="10" customWidth="1"/>
    <col min="8705" max="8705" width="3.85546875" customWidth="1"/>
    <col min="8706" max="8706" width="84.5703125" bestFit="1" customWidth="1"/>
    <col min="8707" max="8707" width="4.140625" bestFit="1" customWidth="1"/>
    <col min="8708" max="8708" width="5" bestFit="1" customWidth="1"/>
    <col min="8709" max="8709" width="4.140625" bestFit="1" customWidth="1"/>
    <col min="8710" max="8710" width="4.5703125" customWidth="1"/>
    <col min="8711" max="8711" width="5" customWidth="1"/>
    <col min="8712" max="8712" width="10" customWidth="1"/>
    <col min="8961" max="8961" width="3.85546875" customWidth="1"/>
    <col min="8962" max="8962" width="84.5703125" bestFit="1" customWidth="1"/>
    <col min="8963" max="8963" width="4.140625" bestFit="1" customWidth="1"/>
    <col min="8964" max="8964" width="5" bestFit="1" customWidth="1"/>
    <col min="8965" max="8965" width="4.140625" bestFit="1" customWidth="1"/>
    <col min="8966" max="8966" width="4.5703125" customWidth="1"/>
    <col min="8967" max="8967" width="5" customWidth="1"/>
    <col min="8968" max="8968" width="10" customWidth="1"/>
    <col min="9217" max="9217" width="3.85546875" customWidth="1"/>
    <col min="9218" max="9218" width="84.5703125" bestFit="1" customWidth="1"/>
    <col min="9219" max="9219" width="4.140625" bestFit="1" customWidth="1"/>
    <col min="9220" max="9220" width="5" bestFit="1" customWidth="1"/>
    <col min="9221" max="9221" width="4.140625" bestFit="1" customWidth="1"/>
    <col min="9222" max="9222" width="4.5703125" customWidth="1"/>
    <col min="9223" max="9223" width="5" customWidth="1"/>
    <col min="9224" max="9224" width="10" customWidth="1"/>
    <col min="9473" max="9473" width="3.85546875" customWidth="1"/>
    <col min="9474" max="9474" width="84.5703125" bestFit="1" customWidth="1"/>
    <col min="9475" max="9475" width="4.140625" bestFit="1" customWidth="1"/>
    <col min="9476" max="9476" width="5" bestFit="1" customWidth="1"/>
    <col min="9477" max="9477" width="4.140625" bestFit="1" customWidth="1"/>
    <col min="9478" max="9478" width="4.5703125" customWidth="1"/>
    <col min="9479" max="9479" width="5" customWidth="1"/>
    <col min="9480" max="9480" width="10" customWidth="1"/>
    <col min="9729" max="9729" width="3.85546875" customWidth="1"/>
    <col min="9730" max="9730" width="84.5703125" bestFit="1" customWidth="1"/>
    <col min="9731" max="9731" width="4.140625" bestFit="1" customWidth="1"/>
    <col min="9732" max="9732" width="5" bestFit="1" customWidth="1"/>
    <col min="9733" max="9733" width="4.140625" bestFit="1" customWidth="1"/>
    <col min="9734" max="9734" width="4.5703125" customWidth="1"/>
    <col min="9735" max="9735" width="5" customWidth="1"/>
    <col min="9736" max="9736" width="10" customWidth="1"/>
    <col min="9985" max="9985" width="3.85546875" customWidth="1"/>
    <col min="9986" max="9986" width="84.5703125" bestFit="1" customWidth="1"/>
    <col min="9987" max="9987" width="4.140625" bestFit="1" customWidth="1"/>
    <col min="9988" max="9988" width="5" bestFit="1" customWidth="1"/>
    <col min="9989" max="9989" width="4.140625" bestFit="1" customWidth="1"/>
    <col min="9990" max="9990" width="4.5703125" customWidth="1"/>
    <col min="9991" max="9991" width="5" customWidth="1"/>
    <col min="9992" max="9992" width="10" customWidth="1"/>
    <col min="10241" max="10241" width="3.85546875" customWidth="1"/>
    <col min="10242" max="10242" width="84.5703125" bestFit="1" customWidth="1"/>
    <col min="10243" max="10243" width="4.140625" bestFit="1" customWidth="1"/>
    <col min="10244" max="10244" width="5" bestFit="1" customWidth="1"/>
    <col min="10245" max="10245" width="4.140625" bestFit="1" customWidth="1"/>
    <col min="10246" max="10246" width="4.5703125" customWidth="1"/>
    <col min="10247" max="10247" width="5" customWidth="1"/>
    <col min="10248" max="10248" width="10" customWidth="1"/>
    <col min="10497" max="10497" width="3.85546875" customWidth="1"/>
    <col min="10498" max="10498" width="84.5703125" bestFit="1" customWidth="1"/>
    <col min="10499" max="10499" width="4.140625" bestFit="1" customWidth="1"/>
    <col min="10500" max="10500" width="5" bestFit="1" customWidth="1"/>
    <col min="10501" max="10501" width="4.140625" bestFit="1" customWidth="1"/>
    <col min="10502" max="10502" width="4.5703125" customWidth="1"/>
    <col min="10503" max="10503" width="5" customWidth="1"/>
    <col min="10504" max="10504" width="10" customWidth="1"/>
    <col min="10753" max="10753" width="3.85546875" customWidth="1"/>
    <col min="10754" max="10754" width="84.5703125" bestFit="1" customWidth="1"/>
    <col min="10755" max="10755" width="4.140625" bestFit="1" customWidth="1"/>
    <col min="10756" max="10756" width="5" bestFit="1" customWidth="1"/>
    <col min="10757" max="10757" width="4.140625" bestFit="1" customWidth="1"/>
    <col min="10758" max="10758" width="4.5703125" customWidth="1"/>
    <col min="10759" max="10759" width="5" customWidth="1"/>
    <col min="10760" max="10760" width="10" customWidth="1"/>
    <col min="11009" max="11009" width="3.85546875" customWidth="1"/>
    <col min="11010" max="11010" width="84.5703125" bestFit="1" customWidth="1"/>
    <col min="11011" max="11011" width="4.140625" bestFit="1" customWidth="1"/>
    <col min="11012" max="11012" width="5" bestFit="1" customWidth="1"/>
    <col min="11013" max="11013" width="4.140625" bestFit="1" customWidth="1"/>
    <col min="11014" max="11014" width="4.5703125" customWidth="1"/>
    <col min="11015" max="11015" width="5" customWidth="1"/>
    <col min="11016" max="11016" width="10" customWidth="1"/>
    <col min="11265" max="11265" width="3.85546875" customWidth="1"/>
    <col min="11266" max="11266" width="84.5703125" bestFit="1" customWidth="1"/>
    <col min="11267" max="11267" width="4.140625" bestFit="1" customWidth="1"/>
    <col min="11268" max="11268" width="5" bestFit="1" customWidth="1"/>
    <col min="11269" max="11269" width="4.140625" bestFit="1" customWidth="1"/>
    <col min="11270" max="11270" width="4.5703125" customWidth="1"/>
    <col min="11271" max="11271" width="5" customWidth="1"/>
    <col min="11272" max="11272" width="10" customWidth="1"/>
    <col min="11521" max="11521" width="3.85546875" customWidth="1"/>
    <col min="11522" max="11522" width="84.5703125" bestFit="1" customWidth="1"/>
    <col min="11523" max="11523" width="4.140625" bestFit="1" customWidth="1"/>
    <col min="11524" max="11524" width="5" bestFit="1" customWidth="1"/>
    <col min="11525" max="11525" width="4.140625" bestFit="1" customWidth="1"/>
    <col min="11526" max="11526" width="4.5703125" customWidth="1"/>
    <col min="11527" max="11527" width="5" customWidth="1"/>
    <col min="11528" max="11528" width="10" customWidth="1"/>
    <col min="11777" max="11777" width="3.85546875" customWidth="1"/>
    <col min="11778" max="11778" width="84.5703125" bestFit="1" customWidth="1"/>
    <col min="11779" max="11779" width="4.140625" bestFit="1" customWidth="1"/>
    <col min="11780" max="11780" width="5" bestFit="1" customWidth="1"/>
    <col min="11781" max="11781" width="4.140625" bestFit="1" customWidth="1"/>
    <col min="11782" max="11782" width="4.5703125" customWidth="1"/>
    <col min="11783" max="11783" width="5" customWidth="1"/>
    <col min="11784" max="11784" width="10" customWidth="1"/>
    <col min="12033" max="12033" width="3.85546875" customWidth="1"/>
    <col min="12034" max="12034" width="84.5703125" bestFit="1" customWidth="1"/>
    <col min="12035" max="12035" width="4.140625" bestFit="1" customWidth="1"/>
    <col min="12036" max="12036" width="5" bestFit="1" customWidth="1"/>
    <col min="12037" max="12037" width="4.140625" bestFit="1" customWidth="1"/>
    <col min="12038" max="12038" width="4.5703125" customWidth="1"/>
    <col min="12039" max="12039" width="5" customWidth="1"/>
    <col min="12040" max="12040" width="10" customWidth="1"/>
    <col min="12289" max="12289" width="3.85546875" customWidth="1"/>
    <col min="12290" max="12290" width="84.5703125" bestFit="1" customWidth="1"/>
    <col min="12291" max="12291" width="4.140625" bestFit="1" customWidth="1"/>
    <col min="12292" max="12292" width="5" bestFit="1" customWidth="1"/>
    <col min="12293" max="12293" width="4.140625" bestFit="1" customWidth="1"/>
    <col min="12294" max="12294" width="4.5703125" customWidth="1"/>
    <col min="12295" max="12295" width="5" customWidth="1"/>
    <col min="12296" max="12296" width="10" customWidth="1"/>
    <col min="12545" max="12545" width="3.85546875" customWidth="1"/>
    <col min="12546" max="12546" width="84.5703125" bestFit="1" customWidth="1"/>
    <col min="12547" max="12547" width="4.140625" bestFit="1" customWidth="1"/>
    <col min="12548" max="12548" width="5" bestFit="1" customWidth="1"/>
    <col min="12549" max="12549" width="4.140625" bestFit="1" customWidth="1"/>
    <col min="12550" max="12550" width="4.5703125" customWidth="1"/>
    <col min="12551" max="12551" width="5" customWidth="1"/>
    <col min="12552" max="12552" width="10" customWidth="1"/>
    <col min="12801" max="12801" width="3.85546875" customWidth="1"/>
    <col min="12802" max="12802" width="84.5703125" bestFit="1" customWidth="1"/>
    <col min="12803" max="12803" width="4.140625" bestFit="1" customWidth="1"/>
    <col min="12804" max="12804" width="5" bestFit="1" customWidth="1"/>
    <col min="12805" max="12805" width="4.140625" bestFit="1" customWidth="1"/>
    <col min="12806" max="12806" width="4.5703125" customWidth="1"/>
    <col min="12807" max="12807" width="5" customWidth="1"/>
    <col min="12808" max="12808" width="10" customWidth="1"/>
    <col min="13057" max="13057" width="3.85546875" customWidth="1"/>
    <col min="13058" max="13058" width="84.5703125" bestFit="1" customWidth="1"/>
    <col min="13059" max="13059" width="4.140625" bestFit="1" customWidth="1"/>
    <col min="13060" max="13060" width="5" bestFit="1" customWidth="1"/>
    <col min="13061" max="13061" width="4.140625" bestFit="1" customWidth="1"/>
    <col min="13062" max="13062" width="4.5703125" customWidth="1"/>
    <col min="13063" max="13063" width="5" customWidth="1"/>
    <col min="13064" max="13064" width="10" customWidth="1"/>
    <col min="13313" max="13313" width="3.85546875" customWidth="1"/>
    <col min="13314" max="13314" width="84.5703125" bestFit="1" customWidth="1"/>
    <col min="13315" max="13315" width="4.140625" bestFit="1" customWidth="1"/>
    <col min="13316" max="13316" width="5" bestFit="1" customWidth="1"/>
    <col min="13317" max="13317" width="4.140625" bestFit="1" customWidth="1"/>
    <col min="13318" max="13318" width="4.5703125" customWidth="1"/>
    <col min="13319" max="13319" width="5" customWidth="1"/>
    <col min="13320" max="13320" width="10" customWidth="1"/>
    <col min="13569" max="13569" width="3.85546875" customWidth="1"/>
    <col min="13570" max="13570" width="84.5703125" bestFit="1" customWidth="1"/>
    <col min="13571" max="13571" width="4.140625" bestFit="1" customWidth="1"/>
    <col min="13572" max="13572" width="5" bestFit="1" customWidth="1"/>
    <col min="13573" max="13573" width="4.140625" bestFit="1" customWidth="1"/>
    <col min="13574" max="13574" width="4.5703125" customWidth="1"/>
    <col min="13575" max="13575" width="5" customWidth="1"/>
    <col min="13576" max="13576" width="10" customWidth="1"/>
    <col min="13825" max="13825" width="3.85546875" customWidth="1"/>
    <col min="13826" max="13826" width="84.5703125" bestFit="1" customWidth="1"/>
    <col min="13827" max="13827" width="4.140625" bestFit="1" customWidth="1"/>
    <col min="13828" max="13828" width="5" bestFit="1" customWidth="1"/>
    <col min="13829" max="13829" width="4.140625" bestFit="1" customWidth="1"/>
    <col min="13830" max="13830" width="4.5703125" customWidth="1"/>
    <col min="13831" max="13831" width="5" customWidth="1"/>
    <col min="13832" max="13832" width="10" customWidth="1"/>
    <col min="14081" max="14081" width="3.85546875" customWidth="1"/>
    <col min="14082" max="14082" width="84.5703125" bestFit="1" customWidth="1"/>
    <col min="14083" max="14083" width="4.140625" bestFit="1" customWidth="1"/>
    <col min="14084" max="14084" width="5" bestFit="1" customWidth="1"/>
    <col min="14085" max="14085" width="4.140625" bestFit="1" customWidth="1"/>
    <col min="14086" max="14086" width="4.5703125" customWidth="1"/>
    <col min="14087" max="14087" width="5" customWidth="1"/>
    <col min="14088" max="14088" width="10" customWidth="1"/>
    <col min="14337" max="14337" width="3.85546875" customWidth="1"/>
    <col min="14338" max="14338" width="84.5703125" bestFit="1" customWidth="1"/>
    <col min="14339" max="14339" width="4.140625" bestFit="1" customWidth="1"/>
    <col min="14340" max="14340" width="5" bestFit="1" customWidth="1"/>
    <col min="14341" max="14341" width="4.140625" bestFit="1" customWidth="1"/>
    <col min="14342" max="14342" width="4.5703125" customWidth="1"/>
    <col min="14343" max="14343" width="5" customWidth="1"/>
    <col min="14344" max="14344" width="10" customWidth="1"/>
    <col min="14593" max="14593" width="3.85546875" customWidth="1"/>
    <col min="14594" max="14594" width="84.5703125" bestFit="1" customWidth="1"/>
    <col min="14595" max="14595" width="4.140625" bestFit="1" customWidth="1"/>
    <col min="14596" max="14596" width="5" bestFit="1" customWidth="1"/>
    <col min="14597" max="14597" width="4.140625" bestFit="1" customWidth="1"/>
    <col min="14598" max="14598" width="4.5703125" customWidth="1"/>
    <col min="14599" max="14599" width="5" customWidth="1"/>
    <col min="14600" max="14600" width="10" customWidth="1"/>
    <col min="14849" max="14849" width="3.85546875" customWidth="1"/>
    <col min="14850" max="14850" width="84.5703125" bestFit="1" customWidth="1"/>
    <col min="14851" max="14851" width="4.140625" bestFit="1" customWidth="1"/>
    <col min="14852" max="14852" width="5" bestFit="1" customWidth="1"/>
    <col min="14853" max="14853" width="4.140625" bestFit="1" customWidth="1"/>
    <col min="14854" max="14854" width="4.5703125" customWidth="1"/>
    <col min="14855" max="14855" width="5" customWidth="1"/>
    <col min="14856" max="14856" width="10" customWidth="1"/>
    <col min="15105" max="15105" width="3.85546875" customWidth="1"/>
    <col min="15106" max="15106" width="84.5703125" bestFit="1" customWidth="1"/>
    <col min="15107" max="15107" width="4.140625" bestFit="1" customWidth="1"/>
    <col min="15108" max="15108" width="5" bestFit="1" customWidth="1"/>
    <col min="15109" max="15109" width="4.140625" bestFit="1" customWidth="1"/>
    <col min="15110" max="15110" width="4.5703125" customWidth="1"/>
    <col min="15111" max="15111" width="5" customWidth="1"/>
    <col min="15112" max="15112" width="10" customWidth="1"/>
    <col min="15361" max="15361" width="3.85546875" customWidth="1"/>
    <col min="15362" max="15362" width="84.5703125" bestFit="1" customWidth="1"/>
    <col min="15363" max="15363" width="4.140625" bestFit="1" customWidth="1"/>
    <col min="15364" max="15364" width="5" bestFit="1" customWidth="1"/>
    <col min="15365" max="15365" width="4.140625" bestFit="1" customWidth="1"/>
    <col min="15366" max="15366" width="4.5703125" customWidth="1"/>
    <col min="15367" max="15367" width="5" customWidth="1"/>
    <col min="15368" max="15368" width="10" customWidth="1"/>
    <col min="15617" max="15617" width="3.85546875" customWidth="1"/>
    <col min="15618" max="15618" width="84.5703125" bestFit="1" customWidth="1"/>
    <col min="15619" max="15619" width="4.140625" bestFit="1" customWidth="1"/>
    <col min="15620" max="15620" width="5" bestFit="1" customWidth="1"/>
    <col min="15621" max="15621" width="4.140625" bestFit="1" customWidth="1"/>
    <col min="15622" max="15622" width="4.5703125" customWidth="1"/>
    <col min="15623" max="15623" width="5" customWidth="1"/>
    <col min="15624" max="15624" width="10" customWidth="1"/>
    <col min="15873" max="15873" width="3.85546875" customWidth="1"/>
    <col min="15874" max="15874" width="84.5703125" bestFit="1" customWidth="1"/>
    <col min="15875" max="15875" width="4.140625" bestFit="1" customWidth="1"/>
    <col min="15876" max="15876" width="5" bestFit="1" customWidth="1"/>
    <col min="15877" max="15877" width="4.140625" bestFit="1" customWidth="1"/>
    <col min="15878" max="15878" width="4.5703125" customWidth="1"/>
    <col min="15879" max="15879" width="5" customWidth="1"/>
    <col min="15880" max="15880" width="10" customWidth="1"/>
    <col min="16129" max="16129" width="3.85546875" customWidth="1"/>
    <col min="16130" max="16130" width="84.5703125" bestFit="1" customWidth="1"/>
    <col min="16131" max="16131" width="4.140625" bestFit="1" customWidth="1"/>
    <col min="16132" max="16132" width="5" bestFit="1" customWidth="1"/>
    <col min="16133" max="16133" width="4.140625" bestFit="1" customWidth="1"/>
    <col min="16134" max="16134" width="4.5703125" customWidth="1"/>
    <col min="16135" max="16135" width="5" customWidth="1"/>
    <col min="16136" max="16136" width="10" customWidth="1"/>
  </cols>
  <sheetData>
    <row r="1" spans="1:9" ht="18.75" x14ac:dyDescent="0.3">
      <c r="A1" s="6" t="s">
        <v>37</v>
      </c>
      <c r="B1" s="6"/>
      <c r="C1" s="6"/>
      <c r="D1" s="6"/>
      <c r="E1" s="6"/>
      <c r="F1" s="6"/>
      <c r="G1" s="6"/>
      <c r="H1" s="6"/>
    </row>
    <row r="2" spans="1:9" s="1" customFormat="1" x14ac:dyDescent="0.25">
      <c r="C2" s="7" t="s">
        <v>0</v>
      </c>
      <c r="D2" s="8"/>
      <c r="F2" s="1" t="s">
        <v>1</v>
      </c>
      <c r="G2" s="1">
        <v>2</v>
      </c>
    </row>
    <row r="3" spans="1:9" s="1" customFormat="1" x14ac:dyDescent="0.25">
      <c r="B3" s="2" t="s">
        <v>2</v>
      </c>
      <c r="C3" s="2" t="s">
        <v>3</v>
      </c>
      <c r="D3" s="2" t="s">
        <v>4</v>
      </c>
    </row>
    <row r="4" spans="1:9" x14ac:dyDescent="0.25">
      <c r="A4" s="3"/>
      <c r="B4" s="3" t="s">
        <v>5</v>
      </c>
      <c r="C4" s="3">
        <f>COUNT(H15,H18,H20,H22,H25:H26)</f>
        <v>6</v>
      </c>
      <c r="D4" s="3">
        <f>SUM(H15,H18,H20,H22,H25:H26)</f>
        <v>21</v>
      </c>
      <c r="F4" t="s">
        <v>6</v>
      </c>
      <c r="I4" t="str">
        <f>B12</f>
        <v>Iniciar proceso de conteo a la hora programada (arranque de sesión)</v>
      </c>
    </row>
    <row r="5" spans="1:9" x14ac:dyDescent="0.25">
      <c r="A5" s="3"/>
      <c r="B5" s="3" t="s">
        <v>7</v>
      </c>
      <c r="C5" s="3">
        <f>COUNT(H17,H19)</f>
        <v>2</v>
      </c>
      <c r="D5" s="3">
        <f>SUM(H17,H19)</f>
        <v>0</v>
      </c>
      <c r="F5" t="s">
        <v>8</v>
      </c>
      <c r="I5" t="str">
        <f>B27</f>
        <v>Cajero principal firma el reporte y acepta la entrega</v>
      </c>
    </row>
    <row r="6" spans="1:9" x14ac:dyDescent="0.25">
      <c r="A6" s="3"/>
      <c r="B6" s="3" t="s">
        <v>9</v>
      </c>
      <c r="C6" s="3">
        <f>COUNT(H12:H14,H16,H21,H23:H24,H27)</f>
        <v>8</v>
      </c>
      <c r="D6" s="3">
        <f>SUM(H12:H14,H16,H21,H23:H24,H27)</f>
        <v>24</v>
      </c>
      <c r="F6" t="s">
        <v>20</v>
      </c>
      <c r="I6" t="s">
        <v>48</v>
      </c>
    </row>
    <row r="7" spans="1:9" x14ac:dyDescent="0.25">
      <c r="A7" s="3"/>
      <c r="B7" s="3" t="s">
        <v>10</v>
      </c>
      <c r="C7" s="3">
        <v>0</v>
      </c>
      <c r="D7" s="3">
        <v>0</v>
      </c>
      <c r="F7" t="s">
        <v>11</v>
      </c>
      <c r="H7" s="5">
        <v>45658</v>
      </c>
    </row>
    <row r="8" spans="1:9" x14ac:dyDescent="0.25">
      <c r="A8" s="3"/>
      <c r="B8" s="3" t="s">
        <v>12</v>
      </c>
      <c r="C8" s="3">
        <v>0</v>
      </c>
      <c r="D8" s="3">
        <v>0</v>
      </c>
    </row>
    <row r="9" spans="1:9" s="1" customFormat="1" x14ac:dyDescent="0.25">
      <c r="A9" s="2"/>
      <c r="B9" s="2" t="s">
        <v>13</v>
      </c>
      <c r="C9" s="2"/>
      <c r="D9" s="2">
        <f>SUM(D4:D8)</f>
        <v>45</v>
      </c>
    </row>
    <row r="11" spans="1:9" s="1" customFormat="1" x14ac:dyDescent="0.25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22</v>
      </c>
    </row>
    <row r="12" spans="1:9" x14ac:dyDescent="0.25">
      <c r="A12" s="3">
        <v>1</v>
      </c>
      <c r="B12" s="3" t="s">
        <v>31</v>
      </c>
      <c r="C12" s="4"/>
      <c r="D12" s="4"/>
      <c r="E12" s="4"/>
      <c r="F12" s="4"/>
      <c r="G12" s="3"/>
      <c r="H12" s="3">
        <v>0</v>
      </c>
    </row>
    <row r="13" spans="1:9" x14ac:dyDescent="0.25">
      <c r="A13" s="3">
        <v>2</v>
      </c>
      <c r="B13" s="3" t="s">
        <v>32</v>
      </c>
      <c r="C13" s="4"/>
      <c r="D13" s="4"/>
      <c r="E13" s="4"/>
      <c r="F13" s="4"/>
      <c r="G13" s="3"/>
      <c r="H13" s="3">
        <v>10</v>
      </c>
    </row>
    <row r="14" spans="1:9" x14ac:dyDescent="0.25">
      <c r="A14" s="3">
        <v>3</v>
      </c>
      <c r="B14" s="3" t="s">
        <v>33</v>
      </c>
      <c r="C14" s="4"/>
      <c r="D14" s="4"/>
      <c r="E14" s="4"/>
      <c r="F14" s="4"/>
      <c r="G14" s="3"/>
      <c r="H14" s="3">
        <v>2</v>
      </c>
    </row>
    <row r="15" spans="1:9" x14ac:dyDescent="0.25">
      <c r="A15" s="3">
        <v>4</v>
      </c>
      <c r="B15" s="3" t="s">
        <v>34</v>
      </c>
      <c r="C15" s="4"/>
      <c r="D15" s="4"/>
      <c r="E15" s="4"/>
      <c r="F15" s="4"/>
      <c r="G15" s="3"/>
      <c r="H15" s="3">
        <v>7</v>
      </c>
    </row>
    <row r="16" spans="1:9" x14ac:dyDescent="0.25">
      <c r="A16" s="3">
        <v>5</v>
      </c>
      <c r="B16" s="3" t="s">
        <v>35</v>
      </c>
      <c r="C16" s="4"/>
      <c r="D16" s="4"/>
      <c r="E16" s="4"/>
      <c r="F16" s="4"/>
      <c r="G16" s="3"/>
      <c r="H16" s="3">
        <v>0</v>
      </c>
    </row>
    <row r="17" spans="1:8" x14ac:dyDescent="0.25">
      <c r="A17" s="3">
        <v>6</v>
      </c>
      <c r="B17" s="3" t="s">
        <v>36</v>
      </c>
      <c r="C17" s="4"/>
      <c r="D17" s="4"/>
      <c r="E17" s="4"/>
      <c r="F17" s="4"/>
      <c r="G17" s="3"/>
      <c r="H17" s="3">
        <v>0</v>
      </c>
    </row>
    <row r="18" spans="1:8" x14ac:dyDescent="0.25">
      <c r="A18" s="3">
        <v>7</v>
      </c>
      <c r="B18" s="3" t="s">
        <v>38</v>
      </c>
      <c r="C18" s="4"/>
      <c r="D18" s="4"/>
      <c r="E18" s="4"/>
      <c r="F18" s="4"/>
      <c r="G18" s="3"/>
      <c r="H18" s="3">
        <v>4</v>
      </c>
    </row>
    <row r="19" spans="1:8" x14ac:dyDescent="0.25">
      <c r="A19" s="3">
        <v>8</v>
      </c>
      <c r="B19" s="3" t="s">
        <v>39</v>
      </c>
      <c r="C19" s="4"/>
      <c r="D19" s="4"/>
      <c r="E19" s="4"/>
      <c r="F19" s="4"/>
      <c r="G19" s="3"/>
      <c r="H19" s="3">
        <v>0</v>
      </c>
    </row>
    <row r="20" spans="1:8" x14ac:dyDescent="0.25">
      <c r="A20" s="3">
        <v>9</v>
      </c>
      <c r="B20" s="3" t="s">
        <v>40</v>
      </c>
      <c r="C20" s="4"/>
      <c r="D20" s="4"/>
      <c r="E20" s="4"/>
      <c r="F20" s="4"/>
      <c r="G20" s="3"/>
      <c r="H20" s="3">
        <v>5</v>
      </c>
    </row>
    <row r="21" spans="1:8" x14ac:dyDescent="0.25">
      <c r="A21" s="3">
        <v>10</v>
      </c>
      <c r="B21" s="3" t="s">
        <v>41</v>
      </c>
      <c r="C21" s="4"/>
      <c r="D21" s="4"/>
      <c r="E21" s="4"/>
      <c r="F21" s="4"/>
      <c r="G21" s="3"/>
      <c r="H21" s="3">
        <v>5</v>
      </c>
    </row>
    <row r="22" spans="1:8" x14ac:dyDescent="0.25">
      <c r="A22" s="3">
        <v>11</v>
      </c>
      <c r="B22" s="3" t="s">
        <v>42</v>
      </c>
      <c r="C22" s="4"/>
      <c r="D22" s="4"/>
      <c r="E22" s="4"/>
      <c r="F22" s="4"/>
      <c r="G22" s="3"/>
      <c r="H22" s="3">
        <v>2</v>
      </c>
    </row>
    <row r="23" spans="1:8" x14ac:dyDescent="0.25">
      <c r="A23" s="3">
        <v>12</v>
      </c>
      <c r="B23" s="3" t="s">
        <v>43</v>
      </c>
      <c r="C23" s="4"/>
      <c r="D23" s="4"/>
      <c r="E23" s="4"/>
      <c r="F23" s="4"/>
      <c r="G23" s="4"/>
      <c r="H23" s="3">
        <v>5</v>
      </c>
    </row>
    <row r="24" spans="1:8" x14ac:dyDescent="0.25">
      <c r="A24" s="3">
        <v>13</v>
      </c>
      <c r="B24" s="3" t="s">
        <v>44</v>
      </c>
      <c r="C24" s="3"/>
      <c r="D24" s="3"/>
      <c r="E24" s="3"/>
      <c r="F24" s="3"/>
      <c r="G24" s="3"/>
      <c r="H24" s="3">
        <v>1</v>
      </c>
    </row>
    <row r="25" spans="1:8" x14ac:dyDescent="0.25">
      <c r="A25" s="3">
        <v>14</v>
      </c>
      <c r="B25" s="3" t="s">
        <v>45</v>
      </c>
      <c r="C25" s="3"/>
      <c r="D25" s="3"/>
      <c r="E25" s="3"/>
      <c r="F25" s="3"/>
      <c r="G25" s="3"/>
      <c r="H25" s="3">
        <v>1</v>
      </c>
    </row>
    <row r="26" spans="1:8" x14ac:dyDescent="0.25">
      <c r="A26" s="3">
        <v>15</v>
      </c>
      <c r="B26" s="3" t="s">
        <v>46</v>
      </c>
      <c r="C26" s="3"/>
      <c r="D26" s="3"/>
      <c r="E26" s="3"/>
      <c r="F26" s="3"/>
      <c r="G26" s="3"/>
      <c r="H26" s="3">
        <v>2</v>
      </c>
    </row>
    <row r="27" spans="1:8" x14ac:dyDescent="0.25">
      <c r="A27" s="3">
        <v>16</v>
      </c>
      <c r="B27" s="3" t="s">
        <v>47</v>
      </c>
      <c r="C27" s="3"/>
      <c r="D27" s="3"/>
      <c r="E27" s="3"/>
      <c r="F27" s="3"/>
      <c r="G27" s="3"/>
      <c r="H27" s="3">
        <v>1</v>
      </c>
    </row>
    <row r="28" spans="1:8" s="1" customFormat="1" x14ac:dyDescent="0.25">
      <c r="B28" s="2" t="s">
        <v>13</v>
      </c>
      <c r="C28" s="2"/>
      <c r="D28" s="2"/>
      <c r="E28" s="2"/>
      <c r="F28" s="2"/>
      <c r="G28" s="2"/>
      <c r="H28" s="2">
        <f>SUM(H12:H27)</f>
        <v>45</v>
      </c>
    </row>
  </sheetData>
  <mergeCells count="2">
    <mergeCell ref="A1:H1"/>
    <mergeCell ref="C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Pregunta 1</vt:lpstr>
      <vt:lpstr>Pregunta 2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MARIO DANIEL SAJVIN GOMEZ</cp:lastModifiedBy>
  <dcterms:created xsi:type="dcterms:W3CDTF">2017-11-06T11:07:16Z</dcterms:created>
  <dcterms:modified xsi:type="dcterms:W3CDTF">2025-10-02T01:31:04Z</dcterms:modified>
</cp:coreProperties>
</file>