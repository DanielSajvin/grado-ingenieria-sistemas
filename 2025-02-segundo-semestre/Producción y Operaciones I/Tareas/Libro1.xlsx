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jvn\Desktop\Segundo Semestre 2025\Producción y Operaciones I\Tareas\"/>
    </mc:Choice>
  </mc:AlternateContent>
  <xr:revisionPtr revIDLastSave="0" documentId="13_ncr:1_{EA57EB67-4E73-4995-918E-31807E7D6E05}" xr6:coauthVersionLast="47" xr6:coauthVersionMax="47" xr10:uidLastSave="{00000000-0000-0000-0000-000000000000}"/>
  <bookViews>
    <workbookView xWindow="-108" yWindow="-108" windowWidth="23256" windowHeight="13176" xr2:uid="{A41B7619-3F2F-4A50-8987-57ACFDBFAC8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3" i="1" l="1"/>
  <c r="C56" i="1"/>
  <c r="B56" i="1"/>
  <c r="C51" i="1"/>
  <c r="B51" i="1"/>
  <c r="C47" i="1"/>
  <c r="B47" i="1"/>
  <c r="C46" i="1"/>
  <c r="B46" i="1"/>
  <c r="E7" i="1"/>
  <c r="D7" i="1"/>
  <c r="C7" i="1"/>
  <c r="B7" i="1"/>
  <c r="F7" i="1" s="1"/>
  <c r="B31" i="1" l="1"/>
  <c r="B30" i="1"/>
  <c r="B29" i="1"/>
  <c r="B28" i="1"/>
  <c r="B17" i="1"/>
  <c r="B18" i="1"/>
  <c r="B33" i="1" l="1"/>
  <c r="B32" i="1"/>
  <c r="D33" i="1" s="1"/>
  <c r="B19" i="1"/>
</calcChain>
</file>

<file path=xl/sharedStrings.xml><?xml version="1.0" encoding="utf-8"?>
<sst xmlns="http://schemas.openxmlformats.org/spreadsheetml/2006/main" count="51" uniqueCount="48">
  <si>
    <t>Problema 11</t>
  </si>
  <si>
    <t>Unidades vendidas</t>
  </si>
  <si>
    <t>Precio de venta por unidades</t>
  </si>
  <si>
    <t>Total de horas-hombre</t>
  </si>
  <si>
    <t>Tarifa salarial</t>
  </si>
  <si>
    <t xml:space="preserve">Total de materiales </t>
  </si>
  <si>
    <t xml:space="preserve">Total de energía </t>
  </si>
  <si>
    <t>/hora</t>
  </si>
  <si>
    <t>Entradas</t>
  </si>
  <si>
    <t xml:space="preserve">Salidas </t>
  </si>
  <si>
    <t>Productividad</t>
  </si>
  <si>
    <t>Problema 12</t>
  </si>
  <si>
    <t>Auto Deluxe</t>
  </si>
  <si>
    <t>Auto Limited</t>
  </si>
  <si>
    <t>Trabajo-Deluxe</t>
  </si>
  <si>
    <t>Trabajo-Limited</t>
  </si>
  <si>
    <t>Cantidad</t>
  </si>
  <si>
    <t>Unidad</t>
  </si>
  <si>
    <t>Ventas netas Limited</t>
  </si>
  <si>
    <t>Salarios Pagados Deluxe</t>
  </si>
  <si>
    <t>Ventas netas Deluxe</t>
  </si>
  <si>
    <t>Salarios Pagados Limited</t>
  </si>
  <si>
    <t>Productividad Deluxe</t>
  </si>
  <si>
    <t>Productividad Limited</t>
  </si>
  <si>
    <t>Problema 13</t>
  </si>
  <si>
    <t>Ventas (unidades)</t>
  </si>
  <si>
    <t>Trabajo (horas)</t>
  </si>
  <si>
    <t>Materias Primas (moneda)</t>
  </si>
  <si>
    <t>Equipo de capital (horas)</t>
  </si>
  <si>
    <t>Estados Unidos</t>
  </si>
  <si>
    <t>PVD</t>
  </si>
  <si>
    <t xml:space="preserve">Problema 10 </t>
  </si>
  <si>
    <t>Unidades Producidas</t>
  </si>
  <si>
    <t>Horas máquina</t>
  </si>
  <si>
    <t>Número de máquinas</t>
  </si>
  <si>
    <t>Enero</t>
  </si>
  <si>
    <t xml:space="preserve">Febrero </t>
  </si>
  <si>
    <t>Marzo</t>
  </si>
  <si>
    <t>Abril</t>
  </si>
  <si>
    <t>a) Calcule la productivdad de la mano de obra</t>
  </si>
  <si>
    <t>Productividad por hora de trabajo</t>
  </si>
  <si>
    <t>Matriz</t>
  </si>
  <si>
    <t>Productividad por hora de capital</t>
  </si>
  <si>
    <t>Subsidiaria (PVD)</t>
  </si>
  <si>
    <t>b) Productividad multifactorial</t>
  </si>
  <si>
    <t>Productividad Multifactorial</t>
  </si>
  <si>
    <t>c) 1 USD=10 FC (moneda del PVD)⇒FC 20,000=$2,000 USD</t>
  </si>
  <si>
    <t>Productividad de Materias Primas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</si>
</sst>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2" borderId="1" xfId="0" applyFill="1" applyBorder="1"/>
    <xf numFmtId="2" fontId="0" fillId="2" borderId="1" xfId="0" applyNumberFormat="1" applyFill="1" applyBorder="1"/>
    <xf numFmtId="2" fontId="0" fillId="2" borderId="4" xfId="0" applyNumberFormat="1" applyFill="1" applyBorder="1"/>
    <xf numFmtId="2" fontId="0" fillId="2" borderId="0" xfId="0" applyNumberFormat="1" applyFill="1"/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vertic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2" fontId="0" fillId="0" borderId="2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38AE5-7263-4AA1-9F08-F43B3EC6B1CF}">
  <dimension ref="A1:F56"/>
  <sheetViews>
    <sheetView tabSelected="1" topLeftCell="A16" workbookViewId="0">
      <selection activeCell="E33" sqref="E33"/>
    </sheetView>
  </sheetViews>
  <sheetFormatPr baseColWidth="10" defaultRowHeight="14.4" x14ac:dyDescent="0.3"/>
  <cols>
    <col min="1" max="1" width="24.109375" bestFit="1" customWidth="1"/>
    <col min="2" max="2" width="12" bestFit="1" customWidth="1"/>
  </cols>
  <sheetData>
    <row r="1" spans="1:6" x14ac:dyDescent="0.3">
      <c r="A1" t="s">
        <v>31</v>
      </c>
    </row>
    <row r="3" spans="1:6" x14ac:dyDescent="0.3">
      <c r="A3" s="1"/>
      <c r="B3" s="4" t="s">
        <v>35</v>
      </c>
      <c r="C3" s="4" t="s">
        <v>36</v>
      </c>
      <c r="D3" s="4" t="s">
        <v>37</v>
      </c>
      <c r="E3" s="4" t="s">
        <v>38</v>
      </c>
    </row>
    <row r="4" spans="1:6" x14ac:dyDescent="0.3">
      <c r="A4" s="1" t="s">
        <v>32</v>
      </c>
      <c r="B4" s="1">
        <v>2300</v>
      </c>
      <c r="C4" s="1">
        <v>1800</v>
      </c>
      <c r="D4" s="1">
        <v>2800</v>
      </c>
      <c r="E4" s="1">
        <v>3000</v>
      </c>
    </row>
    <row r="5" spans="1:6" x14ac:dyDescent="0.3">
      <c r="A5" s="1" t="s">
        <v>33</v>
      </c>
      <c r="B5" s="1">
        <v>325</v>
      </c>
      <c r="C5" s="1">
        <v>200</v>
      </c>
      <c r="D5" s="1">
        <v>400</v>
      </c>
      <c r="E5" s="1">
        <v>320</v>
      </c>
    </row>
    <row r="6" spans="1:6" x14ac:dyDescent="0.3">
      <c r="A6" s="1" t="s">
        <v>34</v>
      </c>
      <c r="B6" s="1">
        <v>3</v>
      </c>
      <c r="C6" s="1">
        <v>5</v>
      </c>
      <c r="D6" s="1">
        <v>4</v>
      </c>
      <c r="E6" s="1">
        <v>4</v>
      </c>
    </row>
    <row r="7" spans="1:6" x14ac:dyDescent="0.3">
      <c r="A7" s="4" t="s">
        <v>10</v>
      </c>
      <c r="B7" s="5">
        <f>B4/(B5*B6)</f>
        <v>2.358974358974359</v>
      </c>
      <c r="C7" s="5">
        <f>C4/(C5*C6)</f>
        <v>1.8</v>
      </c>
      <c r="D7" s="4">
        <f>D4/(D5*D6)</f>
        <v>1.75</v>
      </c>
      <c r="E7" s="5">
        <f>E4/(E5*E6)</f>
        <v>2.34375</v>
      </c>
      <c r="F7" s="6">
        <f>AVERAGE(B7:E7)</f>
        <v>2.0631810897435896</v>
      </c>
    </row>
    <row r="9" spans="1:6" x14ac:dyDescent="0.3">
      <c r="A9" t="s">
        <v>0</v>
      </c>
    </row>
    <row r="11" spans="1:6" x14ac:dyDescent="0.3">
      <c r="A11" s="1" t="s">
        <v>1</v>
      </c>
      <c r="B11" s="1">
        <v>1217</v>
      </c>
    </row>
    <row r="12" spans="1:6" x14ac:dyDescent="0.3">
      <c r="A12" s="1" t="s">
        <v>2</v>
      </c>
      <c r="B12" s="1">
        <v>1700</v>
      </c>
    </row>
    <row r="13" spans="1:6" x14ac:dyDescent="0.3">
      <c r="A13" s="1" t="s">
        <v>3</v>
      </c>
      <c r="B13" s="1">
        <v>46672</v>
      </c>
    </row>
    <row r="14" spans="1:6" x14ac:dyDescent="0.3">
      <c r="A14" s="1" t="s">
        <v>4</v>
      </c>
      <c r="B14" s="1">
        <v>12</v>
      </c>
      <c r="C14" t="s">
        <v>7</v>
      </c>
    </row>
    <row r="15" spans="1:6" x14ac:dyDescent="0.3">
      <c r="A15" s="1" t="s">
        <v>5</v>
      </c>
      <c r="B15" s="1">
        <v>60000</v>
      </c>
    </row>
    <row r="16" spans="1:6" x14ac:dyDescent="0.3">
      <c r="A16" s="1" t="s">
        <v>6</v>
      </c>
      <c r="B16" s="1">
        <v>4000</v>
      </c>
    </row>
    <row r="17" spans="1:3" x14ac:dyDescent="0.3">
      <c r="A17" s="1" t="s">
        <v>8</v>
      </c>
      <c r="B17" s="1">
        <f>B11*B12</f>
        <v>2068900</v>
      </c>
    </row>
    <row r="18" spans="1:3" x14ac:dyDescent="0.3">
      <c r="A18" s="1" t="s">
        <v>9</v>
      </c>
      <c r="B18" s="1">
        <f>B13*B14</f>
        <v>560064</v>
      </c>
    </row>
    <row r="19" spans="1:3" x14ac:dyDescent="0.3">
      <c r="A19" s="4" t="s">
        <v>10</v>
      </c>
      <c r="B19" s="5">
        <f>B17/B18</f>
        <v>3.694042109473203</v>
      </c>
    </row>
    <row r="21" spans="1:3" x14ac:dyDescent="0.3">
      <c r="A21" t="s">
        <v>11</v>
      </c>
    </row>
    <row r="23" spans="1:3" x14ac:dyDescent="0.3">
      <c r="A23" s="1"/>
      <c r="B23" s="4" t="s">
        <v>16</v>
      </c>
      <c r="C23" s="4" t="s">
        <v>17</v>
      </c>
    </row>
    <row r="24" spans="1:3" x14ac:dyDescent="0.3">
      <c r="A24" s="1" t="s">
        <v>12</v>
      </c>
      <c r="B24" s="1">
        <v>4000</v>
      </c>
      <c r="C24" s="1">
        <v>8000</v>
      </c>
    </row>
    <row r="25" spans="1:3" x14ac:dyDescent="0.3">
      <c r="A25" s="1" t="s">
        <v>13</v>
      </c>
      <c r="B25" s="1">
        <v>6000</v>
      </c>
      <c r="C25" s="1">
        <v>9500</v>
      </c>
    </row>
    <row r="26" spans="1:3" x14ac:dyDescent="0.3">
      <c r="A26" s="1" t="s">
        <v>14</v>
      </c>
      <c r="B26" s="1">
        <v>20000</v>
      </c>
      <c r="C26" s="1">
        <v>12</v>
      </c>
    </row>
    <row r="27" spans="1:3" x14ac:dyDescent="0.3">
      <c r="A27" s="1" t="s">
        <v>15</v>
      </c>
      <c r="B27" s="1">
        <v>30000</v>
      </c>
      <c r="C27" s="1">
        <v>14</v>
      </c>
    </row>
    <row r="28" spans="1:3" x14ac:dyDescent="0.3">
      <c r="A28" s="4" t="s">
        <v>20</v>
      </c>
      <c r="B28" s="16">
        <f>B24*C24</f>
        <v>32000000</v>
      </c>
      <c r="C28" s="17"/>
    </row>
    <row r="29" spans="1:3" x14ac:dyDescent="0.3">
      <c r="A29" s="4" t="s">
        <v>18</v>
      </c>
      <c r="B29" s="16">
        <f>B25*C25</f>
        <v>57000000</v>
      </c>
      <c r="C29" s="17"/>
    </row>
    <row r="30" spans="1:3" x14ac:dyDescent="0.3">
      <c r="A30" s="4" t="s">
        <v>19</v>
      </c>
      <c r="B30" s="16">
        <f>B26*C26</f>
        <v>240000</v>
      </c>
      <c r="C30" s="17"/>
    </row>
    <row r="31" spans="1:3" x14ac:dyDescent="0.3">
      <c r="A31" s="4" t="s">
        <v>21</v>
      </c>
      <c r="B31" s="16">
        <f>B27*C27</f>
        <v>420000</v>
      </c>
      <c r="C31" s="17"/>
    </row>
    <row r="32" spans="1:3" x14ac:dyDescent="0.3">
      <c r="A32" s="4" t="s">
        <v>22</v>
      </c>
      <c r="B32" s="14">
        <f>B28/B30</f>
        <v>133.33333333333334</v>
      </c>
      <c r="C32" s="15"/>
    </row>
    <row r="33" spans="1:5" x14ac:dyDescent="0.3">
      <c r="A33" s="4" t="s">
        <v>23</v>
      </c>
      <c r="B33" s="14">
        <f>B29/B31</f>
        <v>135.71428571428572</v>
      </c>
      <c r="C33" s="15"/>
      <c r="D33" s="7">
        <f>AVERAGE(B32:C33)</f>
        <v>134.52380952380952</v>
      </c>
      <c r="E33" s="18">
        <f>B33/B32</f>
        <v>1.0178571428571428</v>
      </c>
    </row>
    <row r="35" spans="1:5" x14ac:dyDescent="0.3">
      <c r="A35" t="s">
        <v>24</v>
      </c>
    </row>
    <row r="37" spans="1:5" ht="28.8" x14ac:dyDescent="0.3">
      <c r="A37" s="1"/>
      <c r="B37" s="13" t="s">
        <v>29</v>
      </c>
      <c r="C37" s="12" t="s">
        <v>30</v>
      </c>
    </row>
    <row r="38" spans="1:5" x14ac:dyDescent="0.3">
      <c r="A38" s="4" t="s">
        <v>25</v>
      </c>
      <c r="B38" s="1">
        <v>100000</v>
      </c>
      <c r="C38" s="1">
        <v>20000</v>
      </c>
    </row>
    <row r="39" spans="1:5" x14ac:dyDescent="0.3">
      <c r="A39" s="4" t="s">
        <v>26</v>
      </c>
      <c r="B39" s="1">
        <v>20000</v>
      </c>
      <c r="C39" s="1">
        <v>15000</v>
      </c>
    </row>
    <row r="40" spans="1:5" x14ac:dyDescent="0.3">
      <c r="A40" s="4" t="s">
        <v>27</v>
      </c>
      <c r="B40" s="1">
        <v>20000</v>
      </c>
      <c r="C40" s="1">
        <v>20000</v>
      </c>
    </row>
    <row r="41" spans="1:5" x14ac:dyDescent="0.3">
      <c r="A41" s="4" t="s">
        <v>28</v>
      </c>
      <c r="B41" s="1">
        <v>60000</v>
      </c>
      <c r="C41" s="1">
        <v>50000</v>
      </c>
    </row>
    <row r="43" spans="1:5" x14ac:dyDescent="0.3">
      <c r="A43" t="s">
        <v>39</v>
      </c>
    </row>
    <row r="45" spans="1:5" ht="28.8" x14ac:dyDescent="0.3">
      <c r="A45" s="3"/>
      <c r="B45" s="12" t="s">
        <v>41</v>
      </c>
      <c r="C45" s="13" t="s">
        <v>43</v>
      </c>
    </row>
    <row r="46" spans="1:5" ht="28.8" x14ac:dyDescent="0.3">
      <c r="A46" s="11" t="s">
        <v>40</v>
      </c>
      <c r="B46" s="3">
        <f>B38/C38</f>
        <v>5</v>
      </c>
      <c r="C46" s="8">
        <f>B39/C39</f>
        <v>1.3333333333333333</v>
      </c>
    </row>
    <row r="47" spans="1:5" ht="28.8" x14ac:dyDescent="0.3">
      <c r="A47" s="11" t="s">
        <v>42</v>
      </c>
      <c r="B47" s="8">
        <f>B38/B41</f>
        <v>1.6666666666666667</v>
      </c>
      <c r="C47" s="8">
        <f>C38/C41</f>
        <v>0.4</v>
      </c>
    </row>
    <row r="49" spans="1:5" x14ac:dyDescent="0.3">
      <c r="A49" t="s">
        <v>44</v>
      </c>
    </row>
    <row r="51" spans="1:5" x14ac:dyDescent="0.3">
      <c r="A51" s="10" t="s">
        <v>45</v>
      </c>
      <c r="B51" s="3">
        <f>B38/(B39+B41)</f>
        <v>1.25</v>
      </c>
      <c r="C51" s="8">
        <f>C38/(C39+C41)</f>
        <v>0.30769230769230771</v>
      </c>
    </row>
    <row r="53" spans="1:5" x14ac:dyDescent="0.3">
      <c r="A53" t="s">
        <v>46</v>
      </c>
      <c r="E53">
        <v>2000</v>
      </c>
    </row>
    <row r="55" spans="1:5" ht="28.8" x14ac:dyDescent="0.3">
      <c r="A55" s="1"/>
      <c r="B55" s="3" t="s">
        <v>41</v>
      </c>
      <c r="C55" s="2" t="s">
        <v>43</v>
      </c>
    </row>
    <row r="56" spans="1:5" ht="28.8" x14ac:dyDescent="0.3">
      <c r="A56" s="9" t="s">
        <v>47</v>
      </c>
      <c r="B56" s="3">
        <f>B38/B40</f>
        <v>5</v>
      </c>
      <c r="C56" s="3">
        <f>C38/E53</f>
        <v>10</v>
      </c>
    </row>
  </sheetData>
  <mergeCells count="6">
    <mergeCell ref="B33:C33"/>
    <mergeCell ref="B28:C28"/>
    <mergeCell ref="B29:C29"/>
    <mergeCell ref="B30:C30"/>
    <mergeCell ref="B31:C31"/>
    <mergeCell ref="B32:C32"/>
  </mergeCells>
  <phoneticPr fontId="1" type="noConversion"/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DANIEL SAJVIN GOMEZ</dc:creator>
  <cp:lastModifiedBy>MARIO DANIEL SAJVIN GOMEZ</cp:lastModifiedBy>
  <dcterms:created xsi:type="dcterms:W3CDTF">2025-07-17T17:12:52Z</dcterms:created>
  <dcterms:modified xsi:type="dcterms:W3CDTF">2025-07-22T16:44:43Z</dcterms:modified>
</cp:coreProperties>
</file>