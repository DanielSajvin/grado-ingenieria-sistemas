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vn\Desktop\Personal\URL\Formulación y Evaluación de Proyectos\"/>
    </mc:Choice>
  </mc:AlternateContent>
  <xr:revisionPtr revIDLastSave="0" documentId="13_ncr:1_{1CAB2FA4-08FD-4946-97AF-45D023BC951E}" xr6:coauthVersionLast="47" xr6:coauthVersionMax="47" xr10:uidLastSave="{00000000-0000-0000-0000-000000000000}"/>
  <bookViews>
    <workbookView xWindow="-120" yWindow="-120" windowWidth="29040" windowHeight="16440" xr2:uid="{D8658F6D-144E-458E-92E3-EDD927533C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E14" i="1"/>
  <c r="C18" i="1"/>
  <c r="E8" i="1"/>
  <c r="E7" i="1"/>
  <c r="E6" i="1"/>
  <c r="E5" i="1"/>
  <c r="E4" i="1"/>
  <c r="E13" i="1"/>
  <c r="E11" i="1"/>
  <c r="D13" i="1"/>
  <c r="D11" i="1"/>
  <c r="D8" i="1"/>
  <c r="D6" i="1"/>
  <c r="D5" i="1"/>
  <c r="D4" i="1"/>
  <c r="D18" i="1"/>
  <c r="B18" i="1"/>
  <c r="C14" i="1"/>
  <c r="C13" i="1"/>
  <c r="B11" i="1"/>
  <c r="C8" i="1"/>
  <c r="B7" i="1"/>
  <c r="C7" i="1" s="1"/>
  <c r="D7" i="1" s="1"/>
  <c r="C6" i="1"/>
  <c r="C5" i="1"/>
  <c r="C4" i="1"/>
  <c r="C9" i="1" s="1"/>
  <c r="C12" i="1" s="1"/>
  <c r="D9" i="1" l="1"/>
  <c r="E9" i="1"/>
  <c r="E12" i="1" l="1"/>
  <c r="C20" i="1" s="1"/>
  <c r="B20" i="1"/>
  <c r="D20" i="1" s="1"/>
  <c r="D12" i="1"/>
  <c r="D14" i="1" s="1"/>
  <c r="C19" i="1" s="1"/>
  <c r="B19" i="1"/>
  <c r="D19" i="1" l="1"/>
</calcChain>
</file>

<file path=xl/sharedStrings.xml><?xml version="1.0" encoding="utf-8"?>
<sst xmlns="http://schemas.openxmlformats.org/spreadsheetml/2006/main" count="26" uniqueCount="26">
  <si>
    <t xml:space="preserve">Gastos de Administración </t>
  </si>
  <si>
    <t xml:space="preserve">Conceptos </t>
  </si>
  <si>
    <t xml:space="preserve">Mensual </t>
  </si>
  <si>
    <t>Año 1</t>
  </si>
  <si>
    <t>Año 2</t>
  </si>
  <si>
    <t>Año 3</t>
  </si>
  <si>
    <t>Costos Fijos</t>
  </si>
  <si>
    <t xml:space="preserve">Salarios </t>
  </si>
  <si>
    <t>Incemento anual del 10%</t>
  </si>
  <si>
    <t>Dominio</t>
  </si>
  <si>
    <t xml:space="preserve">Hosting y Certificado SSL </t>
  </si>
  <si>
    <t xml:space="preserve">Depreciación de Equipos </t>
  </si>
  <si>
    <t>Total en equipos: Q14,060</t>
  </si>
  <si>
    <t>Licencias de Software</t>
  </si>
  <si>
    <t>Trello</t>
  </si>
  <si>
    <t>Total costos fijos</t>
  </si>
  <si>
    <t xml:space="preserve">Costos Variables </t>
  </si>
  <si>
    <t>Soporte técnico y mantenimiento</t>
  </si>
  <si>
    <t xml:space="preserve">Imprevistos </t>
  </si>
  <si>
    <t>Total costos variables</t>
  </si>
  <si>
    <t xml:space="preserve">Publicidad </t>
  </si>
  <si>
    <t>Resumen General: Costos Totales por Año</t>
  </si>
  <si>
    <t>Año</t>
  </si>
  <si>
    <t xml:space="preserve">Costos Fijos </t>
  </si>
  <si>
    <t>Costos Variables</t>
  </si>
  <si>
    <t>Total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</si>
</sst>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Q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8"/>
      <name val="Aptos Narrow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19A2-BF01-4FD8-8254-DAE597B1E977}">
  <dimension ref="A1:G38"/>
  <sheetViews>
    <sheetView tabSelected="1" workbookViewId="0">
      <selection activeCell="G14" sqref="G14"/>
    </sheetView>
  </sheetViews>
  <sheetFormatPr baseColWidth="10" defaultRowHeight="15" x14ac:dyDescent="0.25"/>
  <cols>
    <col min="1" max="1" width="23.28515625" customWidth="1"/>
    <col min="2" max="2" width="11.85546875" bestFit="1" customWidth="1"/>
    <col min="3" max="4" width="13.140625" bestFit="1" customWidth="1"/>
    <col min="5" max="5" width="13.42578125" bestFit="1" customWidth="1"/>
  </cols>
  <sheetData>
    <row r="1" spans="1:7" ht="15.75" x14ac:dyDescent="0.25">
      <c r="A1" s="12" t="s">
        <v>0</v>
      </c>
      <c r="B1" s="12"/>
      <c r="C1" s="12"/>
      <c r="D1" s="12"/>
      <c r="E1" s="12"/>
    </row>
    <row r="2" spans="1:7" ht="15.7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7" ht="15.75" x14ac:dyDescent="0.25">
      <c r="A3" s="3" t="s">
        <v>6</v>
      </c>
      <c r="B3" s="18"/>
      <c r="C3" s="19"/>
      <c r="D3" s="19"/>
      <c r="E3" s="20"/>
    </row>
    <row r="4" spans="1:7" ht="15.75" x14ac:dyDescent="0.25">
      <c r="A4" s="4" t="s">
        <v>7</v>
      </c>
      <c r="B4" s="5">
        <v>2500</v>
      </c>
      <c r="C4" s="5">
        <f>B4*12</f>
        <v>30000</v>
      </c>
      <c r="D4" s="5">
        <f>C4*0.05</f>
        <v>1500</v>
      </c>
      <c r="E4" s="5">
        <f>D4*0.05</f>
        <v>75</v>
      </c>
      <c r="F4" s="13" t="s">
        <v>8</v>
      </c>
      <c r="G4" s="13"/>
    </row>
    <row r="5" spans="1:7" ht="15.75" x14ac:dyDescent="0.25">
      <c r="A5" s="4" t="s">
        <v>9</v>
      </c>
      <c r="B5" s="5">
        <v>15</v>
      </c>
      <c r="C5" s="5">
        <f>B5*12</f>
        <v>180</v>
      </c>
      <c r="D5" s="5">
        <f>C5*0.05</f>
        <v>9</v>
      </c>
      <c r="E5" s="5">
        <f>D5*0.05</f>
        <v>0.45</v>
      </c>
    </row>
    <row r="6" spans="1:7" ht="30.75" x14ac:dyDescent="0.25">
      <c r="A6" s="6" t="s">
        <v>10</v>
      </c>
      <c r="B6" s="5">
        <v>120</v>
      </c>
      <c r="C6" s="5">
        <f>B6*12</f>
        <v>1440</v>
      </c>
      <c r="D6" s="5">
        <f>C6*0.05</f>
        <v>72</v>
      </c>
      <c r="E6" s="5">
        <f>D6*0.05</f>
        <v>3.6</v>
      </c>
    </row>
    <row r="7" spans="1:7" ht="30.75" x14ac:dyDescent="0.25">
      <c r="A7" s="6" t="s">
        <v>11</v>
      </c>
      <c r="B7" s="5">
        <f>(14060*0.33)/12</f>
        <v>386.65000000000003</v>
      </c>
      <c r="C7" s="5">
        <f>B7*12</f>
        <v>4639.8</v>
      </c>
      <c r="D7" s="5">
        <f>C7*0.33</f>
        <v>1531.1340000000002</v>
      </c>
      <c r="E7" s="5">
        <f>D7*0.33</f>
        <v>505.27422000000013</v>
      </c>
      <c r="F7" s="13" t="s">
        <v>12</v>
      </c>
      <c r="G7" s="13"/>
    </row>
    <row r="8" spans="1:7" ht="15.75" x14ac:dyDescent="0.25">
      <c r="A8" s="4" t="s">
        <v>13</v>
      </c>
      <c r="B8" s="5">
        <v>345.34</v>
      </c>
      <c r="C8" s="5">
        <f>B8*12</f>
        <v>4144.08</v>
      </c>
      <c r="D8" s="5">
        <f>C8*0.05</f>
        <v>207.20400000000001</v>
      </c>
      <c r="E8" s="5">
        <f>D8*0.05</f>
        <v>10.360200000000001</v>
      </c>
      <c r="F8" s="14" t="s">
        <v>14</v>
      </c>
      <c r="G8" s="14"/>
    </row>
    <row r="9" spans="1:7" ht="15.75" x14ac:dyDescent="0.25">
      <c r="A9" s="4" t="s">
        <v>15</v>
      </c>
      <c r="B9" s="5"/>
      <c r="C9" s="5">
        <f>SUM(C4:C8)</f>
        <v>40403.880000000005</v>
      </c>
      <c r="D9" s="5">
        <f>SUM(D4:D8)</f>
        <v>3319.3380000000002</v>
      </c>
      <c r="E9" s="5">
        <f>SUM(E4:E8)</f>
        <v>594.68442000000005</v>
      </c>
    </row>
    <row r="10" spans="1:7" ht="15.75" x14ac:dyDescent="0.25">
      <c r="A10" s="3" t="s">
        <v>16</v>
      </c>
      <c r="B10" s="15"/>
      <c r="C10" s="16"/>
      <c r="D10" s="16"/>
      <c r="E10" s="17"/>
    </row>
    <row r="11" spans="1:7" ht="30.75" x14ac:dyDescent="0.25">
      <c r="A11" s="6" t="s">
        <v>17</v>
      </c>
      <c r="B11" s="5">
        <f>9000/12</f>
        <v>750</v>
      </c>
      <c r="C11" s="5">
        <f>B11*12</f>
        <v>9000</v>
      </c>
      <c r="D11" s="5">
        <f>C11*0.05</f>
        <v>450</v>
      </c>
      <c r="E11" s="5">
        <f>D11*0.05</f>
        <v>22.5</v>
      </c>
    </row>
    <row r="12" spans="1:7" ht="15.75" x14ac:dyDescent="0.25">
      <c r="A12" s="4" t="s">
        <v>18</v>
      </c>
      <c r="B12" s="5"/>
      <c r="C12" s="5">
        <f>C9*0.05</f>
        <v>2020.1940000000004</v>
      </c>
      <c r="D12" s="5">
        <f>D9*0.05</f>
        <v>165.96690000000001</v>
      </c>
      <c r="E12" s="5">
        <f>E9*0.05</f>
        <v>29.734221000000005</v>
      </c>
    </row>
    <row r="13" spans="1:7" ht="15.75" x14ac:dyDescent="0.25">
      <c r="A13" s="4" t="s">
        <v>20</v>
      </c>
      <c r="B13" s="5">
        <v>50</v>
      </c>
      <c r="C13" s="5">
        <f>B13*12</f>
        <v>600</v>
      </c>
      <c r="D13" s="5">
        <f>C13*0.05</f>
        <v>30</v>
      </c>
      <c r="E13" s="5">
        <f>D13*0.05</f>
        <v>1.5</v>
      </c>
    </row>
    <row r="14" spans="1:7" ht="15.75" x14ac:dyDescent="0.25">
      <c r="A14" s="4" t="s">
        <v>19</v>
      </c>
      <c r="B14" s="5"/>
      <c r="C14" s="5">
        <f>C12+C11+C13</f>
        <v>11620.194</v>
      </c>
      <c r="D14" s="5">
        <f>D12+D11+D13</f>
        <v>645.96690000000001</v>
      </c>
      <c r="E14" s="5">
        <f>E12+E11+E13</f>
        <v>53.734221000000005</v>
      </c>
    </row>
    <row r="15" spans="1:7" x14ac:dyDescent="0.25">
      <c r="B15" s="1"/>
      <c r="C15" s="1"/>
      <c r="D15" s="1"/>
      <c r="E15" s="1"/>
    </row>
    <row r="16" spans="1:7" ht="15.75" x14ac:dyDescent="0.25">
      <c r="A16" s="11" t="s">
        <v>21</v>
      </c>
      <c r="B16" s="11"/>
      <c r="C16" s="11"/>
      <c r="D16" s="11"/>
      <c r="E16" s="1"/>
    </row>
    <row r="17" spans="1:5" ht="30" x14ac:dyDescent="0.25">
      <c r="A17" s="7" t="s">
        <v>22</v>
      </c>
      <c r="B17" s="8" t="s">
        <v>23</v>
      </c>
      <c r="C17" s="8" t="s">
        <v>24</v>
      </c>
      <c r="D17" s="8" t="s">
        <v>25</v>
      </c>
      <c r="E17" s="1"/>
    </row>
    <row r="18" spans="1:5" x14ac:dyDescent="0.25">
      <c r="A18" s="9">
        <v>1</v>
      </c>
      <c r="B18" s="10">
        <f>C9</f>
        <v>40403.880000000005</v>
      </c>
      <c r="C18" s="10">
        <f>C14</f>
        <v>11620.194</v>
      </c>
      <c r="D18" s="10">
        <f>B18+C18</f>
        <v>52024.074000000008</v>
      </c>
      <c r="E18" s="1"/>
    </row>
    <row r="19" spans="1:5" x14ac:dyDescent="0.25">
      <c r="A19" s="9">
        <v>2</v>
      </c>
      <c r="B19" s="10">
        <f>D9</f>
        <v>3319.3380000000002</v>
      </c>
      <c r="C19" s="10">
        <f>D14</f>
        <v>645.96690000000001</v>
      </c>
      <c r="D19" s="10">
        <f>C19+B19</f>
        <v>3965.3049000000001</v>
      </c>
      <c r="E19" s="1"/>
    </row>
    <row r="20" spans="1:5" x14ac:dyDescent="0.25">
      <c r="A20" s="9">
        <v>3</v>
      </c>
      <c r="B20" s="10">
        <f>E9</f>
        <v>594.68442000000005</v>
      </c>
      <c r="C20" s="10">
        <f>E14</f>
        <v>53.734221000000005</v>
      </c>
      <c r="D20" s="10">
        <f>B20+C20</f>
        <v>648.41864100000009</v>
      </c>
      <c r="E20" s="1"/>
    </row>
    <row r="21" spans="1:5" x14ac:dyDescent="0.25">
      <c r="B21" s="1"/>
      <c r="C21" s="1"/>
      <c r="D21" s="1"/>
      <c r="E21" s="1"/>
    </row>
    <row r="22" spans="1:5" x14ac:dyDescent="0.25">
      <c r="B22" s="1"/>
      <c r="C22" s="1"/>
      <c r="D22" s="1"/>
      <c r="E22" s="1"/>
    </row>
    <row r="23" spans="1:5" x14ac:dyDescent="0.25">
      <c r="B23" s="1"/>
      <c r="C23" s="1"/>
      <c r="D23" s="1"/>
      <c r="E23" s="1"/>
    </row>
    <row r="24" spans="1:5" x14ac:dyDescent="0.25">
      <c r="B24" s="1"/>
      <c r="C24" s="1"/>
      <c r="D24" s="1"/>
      <c r="E24" s="1"/>
    </row>
    <row r="25" spans="1:5" x14ac:dyDescent="0.25">
      <c r="B25" s="1"/>
      <c r="C25" s="1"/>
      <c r="D25" s="1"/>
      <c r="E25" s="1"/>
    </row>
    <row r="26" spans="1:5" x14ac:dyDescent="0.25">
      <c r="B26" s="1"/>
      <c r="C26" s="1"/>
      <c r="D26" s="1"/>
      <c r="E26" s="1"/>
    </row>
    <row r="27" spans="1:5" x14ac:dyDescent="0.25">
      <c r="B27" s="1"/>
      <c r="C27" s="1"/>
      <c r="D27" s="1"/>
      <c r="E27" s="1"/>
    </row>
    <row r="28" spans="1:5" x14ac:dyDescent="0.25">
      <c r="B28" s="1"/>
      <c r="C28" s="1"/>
      <c r="D28" s="1"/>
      <c r="E28" s="1"/>
    </row>
    <row r="29" spans="1:5" x14ac:dyDescent="0.25">
      <c r="B29" s="1"/>
      <c r="C29" s="1"/>
      <c r="D29" s="1"/>
      <c r="E29" s="1"/>
    </row>
    <row r="30" spans="1:5" x14ac:dyDescent="0.25">
      <c r="B30" s="1"/>
      <c r="C30" s="1"/>
      <c r="D30" s="1"/>
      <c r="E30" s="1"/>
    </row>
    <row r="31" spans="1:5" x14ac:dyDescent="0.25">
      <c r="B31" s="1"/>
      <c r="C31" s="1"/>
      <c r="D31" s="1"/>
      <c r="E31" s="1"/>
    </row>
    <row r="32" spans="1:5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</sheetData>
  <mergeCells count="7">
    <mergeCell ref="A16:D16"/>
    <mergeCell ref="A1:E1"/>
    <mergeCell ref="F4:G4"/>
    <mergeCell ref="F7:G7"/>
    <mergeCell ref="F8:G8"/>
    <mergeCell ref="B10:E10"/>
    <mergeCell ref="B3:E3"/>
  </mergeCells>
  <phoneticPr fontId="3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DANIEL SAJVIN GOMEZ</dc:creator>
  <cp:lastModifiedBy>MARIO DANIEL SAJVIN GOMEZ</cp:lastModifiedBy>
  <dcterms:created xsi:type="dcterms:W3CDTF">2025-05-13T04:21:55Z</dcterms:created>
  <dcterms:modified xsi:type="dcterms:W3CDTF">2025-05-20T04:35:37Z</dcterms:modified>
</cp:coreProperties>
</file>