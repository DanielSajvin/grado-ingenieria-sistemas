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jvn\Desktop\URL\Fundamentos de administración\"/>
    </mc:Choice>
  </mc:AlternateContent>
  <xr:revisionPtr revIDLastSave="0" documentId="13_ncr:1_{8DFDACDB-7043-4863-B100-DD547BA261BD}" xr6:coauthVersionLast="47" xr6:coauthVersionMax="47" xr10:uidLastSave="{00000000-0000-0000-0000-000000000000}"/>
  <bookViews>
    <workbookView xWindow="-108" yWindow="-108" windowWidth="23256" windowHeight="13176" xr2:uid="{94973479-FC48-4CC7-A4EE-520F84DA9A8C}"/>
  </bookViews>
  <sheets>
    <sheet name="Inciso 1" sheetId="3" r:id="rId1"/>
    <sheet name="Inciso 3" sheetId="1" r:id="rId2"/>
    <sheet name="Inciso 5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3" i="4" l="1"/>
  <c r="D24" i="4"/>
  <c r="D25" i="4"/>
  <c r="D26" i="4"/>
  <c r="D27" i="4"/>
  <c r="D28" i="4"/>
  <c r="D29" i="4"/>
  <c r="D30" i="4"/>
  <c r="D31" i="4"/>
  <c r="D32" i="4"/>
  <c r="D33" i="4"/>
  <c r="D22" i="4"/>
  <c r="G42" i="4"/>
  <c r="F42" i="4"/>
  <c r="E42" i="4"/>
  <c r="D42" i="4"/>
  <c r="C42" i="4"/>
  <c r="C40" i="4"/>
  <c r="D40" i="4"/>
  <c r="E40" i="4"/>
  <c r="F40" i="4"/>
  <c r="G40" i="4"/>
  <c r="H40" i="4"/>
  <c r="I40" i="4"/>
  <c r="J40" i="4"/>
  <c r="K40" i="4"/>
  <c r="L40" i="4"/>
  <c r="M40" i="4"/>
  <c r="B40" i="4"/>
  <c r="B41" i="4"/>
  <c r="E23" i="4"/>
  <c r="E24" i="4"/>
  <c r="E25" i="4"/>
  <c r="E26" i="4"/>
  <c r="E27" i="4"/>
  <c r="E28" i="4"/>
  <c r="H42" i="4" s="1"/>
  <c r="E29" i="4"/>
  <c r="I42" i="4" s="1"/>
  <c r="E30" i="4"/>
  <c r="J42" i="4" s="1"/>
  <c r="E31" i="4"/>
  <c r="K42" i="4" s="1"/>
  <c r="E32" i="4"/>
  <c r="L42" i="4" s="1"/>
  <c r="E33" i="4"/>
  <c r="M42" i="4" s="1"/>
  <c r="E22" i="4"/>
  <c r="E34" i="4" s="1"/>
  <c r="C34" i="4"/>
  <c r="D17" i="4"/>
  <c r="D16" i="4"/>
  <c r="I11" i="4"/>
  <c r="I10" i="4"/>
  <c r="I12" i="4" s="1"/>
  <c r="E10" i="4"/>
  <c r="D5" i="4"/>
  <c r="D7" i="4" s="1"/>
  <c r="C21" i="1"/>
  <c r="C18" i="1"/>
  <c r="C19" i="1"/>
  <c r="C16" i="1"/>
  <c r="C10" i="1"/>
  <c r="C8" i="1"/>
  <c r="C7" i="1"/>
  <c r="C6" i="1"/>
  <c r="B6" i="1"/>
  <c r="B5" i="1"/>
  <c r="B4" i="1"/>
  <c r="C17" i="3"/>
  <c r="C15" i="3"/>
  <c r="C14" i="3"/>
  <c r="B5" i="3"/>
  <c r="C6" i="3" s="1"/>
  <c r="C7" i="3" s="1"/>
  <c r="C17" i="1"/>
  <c r="C15" i="1"/>
  <c r="C14" i="1"/>
  <c r="B42" i="4" l="1"/>
  <c r="B43" i="4" s="1"/>
  <c r="C39" i="4" s="1"/>
  <c r="C41" i="4" s="1"/>
  <c r="C43" i="4"/>
  <c r="D39" i="4" s="1"/>
  <c r="D41" i="4" s="1"/>
  <c r="D43" i="4" s="1"/>
  <c r="E39" i="4" s="1"/>
  <c r="E41" i="4" s="1"/>
  <c r="E43" i="4" s="1"/>
  <c r="F39" i="4" s="1"/>
  <c r="F41" i="4" s="1"/>
  <c r="F43" i="4"/>
  <c r="G39" i="4" s="1"/>
  <c r="G41" i="4" s="1"/>
  <c r="G43" i="4" s="1"/>
  <c r="H39" i="4" s="1"/>
  <c r="H41" i="4" s="1"/>
  <c r="H43" i="4" s="1"/>
  <c r="I39" i="4" s="1"/>
  <c r="I41" i="4" s="1"/>
  <c r="I43" i="4" s="1"/>
  <c r="J39" i="4" s="1"/>
  <c r="J41" i="4" s="1"/>
  <c r="J43" i="4" s="1"/>
  <c r="K39" i="4" s="1"/>
  <c r="K41" i="4" s="1"/>
  <c r="K43" i="4" s="1"/>
  <c r="L39" i="4" s="1"/>
  <c r="L41" i="4" s="1"/>
  <c r="L43" i="4" s="1"/>
  <c r="M39" i="4" s="1"/>
  <c r="M41" i="4" s="1"/>
  <c r="M43" i="4" s="1"/>
  <c r="D18" i="4"/>
  <c r="C9" i="1"/>
  <c r="D17" i="1"/>
  <c r="C8" i="3"/>
  <c r="C9" i="3" s="1"/>
  <c r="C16" i="3"/>
  <c r="D17" i="3" s="1"/>
  <c r="C11" i="1"/>
  <c r="C21" i="3" l="1"/>
  <c r="C18" i="3"/>
  <c r="C19" i="3" s="1"/>
  <c r="C10" i="3"/>
  <c r="C11" i="3" s="1"/>
</calcChain>
</file>

<file path=xl/sharedStrings.xml><?xml version="1.0" encoding="utf-8"?>
<sst xmlns="http://schemas.openxmlformats.org/spreadsheetml/2006/main" count="93" uniqueCount="56">
  <si>
    <t>Enero</t>
  </si>
  <si>
    <t>Febrero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</si>
  <si>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</si>
  <si>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</si>
  <si>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</si>
  <si>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</si>
  <si>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</si>
  <si>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</si>
  <si>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</si>
  <si>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</si>
  <si>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</si>
  <si>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</t>
  </si>
  <si>
    <t>CUADRO DEL PRESUPUESTO DE VENTAS</t>
  </si>
  <si>
    <t>Ventas del año anterior</t>
  </si>
  <si>
    <t>Factores Específicos de Venta</t>
  </si>
  <si>
    <t>De ajuste</t>
  </si>
  <si>
    <t xml:space="preserve">De cambio </t>
  </si>
  <si>
    <t>De crecimiento</t>
  </si>
  <si>
    <t>Presupuesto hasta factores específicos de venta</t>
  </si>
  <si>
    <t>Presupuesto hasta Fuerzas Económicas Generales</t>
  </si>
  <si>
    <t>Presupuesto de Ventas</t>
  </si>
  <si>
    <t xml:space="preserve">Fuerzas Económicas Generales </t>
  </si>
  <si>
    <t xml:space="preserve">Influencia Administrativa </t>
  </si>
  <si>
    <t>FORMULA DEL PRESUPUESTO DE VENTAS</t>
  </si>
  <si>
    <t xml:space="preserve">v -&gt; Ventas del año anterior </t>
  </si>
  <si>
    <t xml:space="preserve">f -&gt; Factores específucos de ventas </t>
  </si>
  <si>
    <t xml:space="preserve">e -&gt; Fuerzas económicas generales </t>
  </si>
  <si>
    <t xml:space="preserve">a -&gt; influencia administrativa </t>
  </si>
  <si>
    <t xml:space="preserve">De ajuste </t>
  </si>
  <si>
    <t>De cambio</t>
  </si>
  <si>
    <t>Resultado con fórmula -&gt;</t>
  </si>
  <si>
    <t>Presupuesto de produccion</t>
  </si>
  <si>
    <t xml:space="preserve">Presupuesto de ventas </t>
  </si>
  <si>
    <t>Inventario base</t>
  </si>
  <si>
    <t>Suma</t>
  </si>
  <si>
    <t>Inventario inicial</t>
  </si>
  <si>
    <t>Presupuesto de producción</t>
  </si>
  <si>
    <t>Rotación estándar</t>
  </si>
  <si>
    <t>Presupuesto de ventas</t>
  </si>
  <si>
    <t xml:space="preserve">Exceso de inventarios </t>
  </si>
  <si>
    <t>Comparación</t>
  </si>
  <si>
    <t>Inventario real</t>
  </si>
  <si>
    <t>faltante, se suma</t>
  </si>
  <si>
    <t xml:space="preserve">Inventario inicial </t>
  </si>
  <si>
    <t>Producción requerida  (mensual)</t>
  </si>
  <si>
    <t>SUMA</t>
  </si>
  <si>
    <t xml:space="preserve">Menos: presupuesto de ventas </t>
  </si>
  <si>
    <t>INVENTARIO FINAL</t>
  </si>
  <si>
    <t xml:space="preserve">Enero </t>
  </si>
  <si>
    <t xml:space="preserve">Marzo </t>
  </si>
  <si>
    <t>Distribución de fabricación y venta mensual</t>
  </si>
  <si>
    <t>Total de este año</t>
  </si>
  <si>
    <t>Mensual de este año</t>
  </si>
  <si>
    <t xml:space="preserve">Integrantes </t>
  </si>
  <si>
    <t>Pablo Cotí</t>
  </si>
  <si>
    <t>Mario Sajvin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</si>
</sst>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Q&quot;* #,##0.00_-;\-&quot;Q&quot;* #,##0.00_-;_-&quot;Q&quot;* &quot;-&quot;??_-;_-@_-"/>
    <numFmt numFmtId="164" formatCode="_-[$Q-100A]* #,##0.00_-;\-[$Q-100A]* #,##0.00_-;_-[$Q-100A]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164" fontId="0" fillId="0" borderId="0" xfId="0" applyNumberFormat="1"/>
    <xf numFmtId="164" fontId="3" fillId="0" borderId="0" xfId="0" applyNumberFormat="1" applyFont="1"/>
    <xf numFmtId="164" fontId="3" fillId="0" borderId="1" xfId="0" applyNumberFormat="1" applyFont="1" applyBorder="1"/>
    <xf numFmtId="164" fontId="3" fillId="0" borderId="2" xfId="0" applyNumberFormat="1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44" fontId="3" fillId="0" borderId="1" xfId="0" applyNumberFormat="1" applyFont="1" applyBorder="1"/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left"/>
    </xf>
    <xf numFmtId="4" fontId="4" fillId="0" borderId="0" xfId="0" applyNumberFormat="1" applyFont="1"/>
    <xf numFmtId="0" fontId="4" fillId="0" borderId="0" xfId="0" applyFont="1" applyAlignment="1">
      <alignment horizontal="right"/>
    </xf>
    <xf numFmtId="4" fontId="4" fillId="0" borderId="3" xfId="0" applyNumberFormat="1" applyFont="1" applyBorder="1"/>
    <xf numFmtId="0" fontId="4" fillId="0" borderId="4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wrapText="1"/>
    </xf>
    <xf numFmtId="0" fontId="4" fillId="0" borderId="5" xfId="0" applyFont="1" applyBorder="1"/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4" fontId="4" fillId="0" borderId="5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0" fillId="0" borderId="5" xfId="0" applyBorder="1"/>
    <xf numFmtId="0" fontId="4" fillId="0" borderId="5" xfId="0" applyFont="1" applyBorder="1" applyAlignment="1">
      <alignment horizontal="left"/>
    </xf>
    <xf numFmtId="10" fontId="4" fillId="0" borderId="6" xfId="0" applyNumberFormat="1" applyFont="1" applyBorder="1" applyAlignment="1">
      <alignment horizontal="left"/>
    </xf>
    <xf numFmtId="9" fontId="4" fillId="0" borderId="6" xfId="1" applyFont="1" applyBorder="1" applyAlignment="1">
      <alignment horizontal="left"/>
    </xf>
    <xf numFmtId="4" fontId="4" fillId="0" borderId="5" xfId="0" applyNumberFormat="1" applyFont="1" applyBorder="1"/>
    <xf numFmtId="4" fontId="0" fillId="0" borderId="5" xfId="0" applyNumberFormat="1" applyBorder="1"/>
    <xf numFmtId="2" fontId="0" fillId="0" borderId="5" xfId="0" applyNumberFormat="1" applyBorder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66508-DF66-4BDB-9D97-88D37D200E62}">
  <dimension ref="A1:D27"/>
  <sheetViews>
    <sheetView tabSelected="1" zoomScaleNormal="100" workbookViewId="0">
      <selection activeCell="A28" sqref="A28"/>
    </sheetView>
  </sheetViews>
  <sheetFormatPr baseColWidth="10" defaultRowHeight="14.4" x14ac:dyDescent="0.3"/>
  <cols>
    <col min="1" max="1" width="50.77734375" customWidth="1"/>
    <col min="2" max="3" width="14.5546875" customWidth="1"/>
    <col min="4" max="4" width="12.77734375" bestFit="1" customWidth="1"/>
  </cols>
  <sheetData>
    <row r="1" spans="1:3" x14ac:dyDescent="0.3">
      <c r="A1" s="5" t="s">
        <v>12</v>
      </c>
      <c r="B1" s="5"/>
      <c r="C1" s="5"/>
    </row>
    <row r="2" spans="1:3" x14ac:dyDescent="0.3">
      <c r="A2" t="s">
        <v>13</v>
      </c>
      <c r="B2" s="2"/>
      <c r="C2" s="2">
        <v>2500000</v>
      </c>
    </row>
    <row r="3" spans="1:3" x14ac:dyDescent="0.3">
      <c r="A3" t="s">
        <v>14</v>
      </c>
      <c r="B3" s="2"/>
      <c r="C3" s="2"/>
    </row>
    <row r="4" spans="1:3" x14ac:dyDescent="0.3">
      <c r="A4" t="s">
        <v>15</v>
      </c>
      <c r="B4" s="2">
        <v>-150000</v>
      </c>
      <c r="C4" s="2"/>
    </row>
    <row r="5" spans="1:3" x14ac:dyDescent="0.3">
      <c r="A5" t="s">
        <v>16</v>
      </c>
      <c r="B5" s="2">
        <f>-C2*2.5%</f>
        <v>-62500</v>
      </c>
      <c r="C5" s="2"/>
    </row>
    <row r="6" spans="1:3" x14ac:dyDescent="0.3">
      <c r="A6" t="s">
        <v>17</v>
      </c>
      <c r="B6" s="3">
        <v>50000</v>
      </c>
      <c r="C6" s="3">
        <f>SUM(B4:B6)</f>
        <v>-162500</v>
      </c>
    </row>
    <row r="7" spans="1:3" x14ac:dyDescent="0.3">
      <c r="A7" t="s">
        <v>18</v>
      </c>
      <c r="B7" s="2"/>
      <c r="C7" s="2">
        <f>C2+C6</f>
        <v>2337500</v>
      </c>
    </row>
    <row r="8" spans="1:3" x14ac:dyDescent="0.3">
      <c r="A8" t="s">
        <v>21</v>
      </c>
      <c r="B8" s="2"/>
      <c r="C8" s="3">
        <f>-C7*0.08</f>
        <v>-187000</v>
      </c>
    </row>
    <row r="9" spans="1:3" x14ac:dyDescent="0.3">
      <c r="A9" t="s">
        <v>19</v>
      </c>
      <c r="B9" s="2"/>
      <c r="C9" s="2">
        <f>SUM(C7:C8)</f>
        <v>2150500</v>
      </c>
    </row>
    <row r="10" spans="1:3" x14ac:dyDescent="0.3">
      <c r="A10" t="s">
        <v>22</v>
      </c>
      <c r="B10" s="2"/>
      <c r="C10" s="2">
        <f>C9*0.05</f>
        <v>107525</v>
      </c>
    </row>
    <row r="11" spans="1:3" ht="15" thickBot="1" x14ac:dyDescent="0.35">
      <c r="A11" t="s">
        <v>20</v>
      </c>
      <c r="B11" s="2"/>
      <c r="C11" s="4">
        <f>SUM(C9:C10)</f>
        <v>2258025</v>
      </c>
    </row>
    <row r="12" spans="1:3" ht="15" thickTop="1" x14ac:dyDescent="0.3">
      <c r="B12" s="2"/>
      <c r="C12" s="2"/>
    </row>
    <row r="13" spans="1:3" x14ac:dyDescent="0.3">
      <c r="A13" s="5" t="s">
        <v>23</v>
      </c>
      <c r="B13" s="5"/>
      <c r="C13" s="5"/>
    </row>
    <row r="14" spans="1:3" x14ac:dyDescent="0.3">
      <c r="A14" t="s">
        <v>24</v>
      </c>
      <c r="C14" s="1">
        <f>C2</f>
        <v>2500000</v>
      </c>
    </row>
    <row r="15" spans="1:3" x14ac:dyDescent="0.3">
      <c r="A15" t="s">
        <v>25</v>
      </c>
      <c r="B15" s="1" t="s">
        <v>28</v>
      </c>
      <c r="C15" s="1">
        <f>B4</f>
        <v>-150000</v>
      </c>
    </row>
    <row r="16" spans="1:3" x14ac:dyDescent="0.3">
      <c r="B16" s="1" t="s">
        <v>29</v>
      </c>
      <c r="C16" s="1">
        <f>-C14*2.5%</f>
        <v>-62500</v>
      </c>
    </row>
    <row r="17" spans="1:4" x14ac:dyDescent="0.3">
      <c r="B17" s="1" t="s">
        <v>17</v>
      </c>
      <c r="C17" s="1">
        <f>B6</f>
        <v>50000</v>
      </c>
      <c r="D17" s="1">
        <f>C17+C16+C15</f>
        <v>-162500</v>
      </c>
    </row>
    <row r="18" spans="1:4" x14ac:dyDescent="0.3">
      <c r="A18" t="s">
        <v>26</v>
      </c>
      <c r="B18" s="1"/>
      <c r="C18" s="1">
        <f>(C14+D17)*0.08</f>
        <v>187000</v>
      </c>
    </row>
    <row r="19" spans="1:4" x14ac:dyDescent="0.3">
      <c r="A19" t="s">
        <v>27</v>
      </c>
      <c r="C19" s="1">
        <f>(C18+D17)*1.5</f>
        <v>36750</v>
      </c>
    </row>
    <row r="21" spans="1:4" x14ac:dyDescent="0.3">
      <c r="A21" s="6" t="s">
        <v>30</v>
      </c>
      <c r="B21" s="6"/>
      <c r="C21" s="1">
        <f>((C14+D17)*0.92)*1.05</f>
        <v>2258025</v>
      </c>
    </row>
    <row r="25" spans="1:4" x14ac:dyDescent="0.3">
      <c r="A25" t="s">
        <v>53</v>
      </c>
    </row>
    <row r="26" spans="1:4" x14ac:dyDescent="0.3">
      <c r="A26" t="s">
        <v>54</v>
      </c>
    </row>
    <row r="27" spans="1:4" x14ac:dyDescent="0.3">
      <c r="A27" t="s">
        <v>55</v>
      </c>
    </row>
  </sheetData>
  <mergeCells count="3">
    <mergeCell ref="A1:C1"/>
    <mergeCell ref="A13:C13"/>
    <mergeCell ref="A21:B21"/>
  </mergeCells>
  <pageMargins left="0" right="0" top="0" bottom="0" header="0" footer="0"/>
  <pageSetup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E4ED6-35E3-4214-8D52-306425652437}">
  <dimension ref="A1:D21"/>
  <sheetViews>
    <sheetView zoomScaleNormal="100" workbookViewId="0">
      <selection activeCell="C22" sqref="C22"/>
    </sheetView>
  </sheetViews>
  <sheetFormatPr baseColWidth="10" defaultRowHeight="14.4" x14ac:dyDescent="0.3"/>
  <cols>
    <col min="1" max="1" width="50.77734375" customWidth="1"/>
    <col min="2" max="2" width="14.5546875" customWidth="1"/>
    <col min="3" max="3" width="15.6640625" customWidth="1"/>
    <col min="4" max="4" width="12.77734375" bestFit="1" customWidth="1"/>
  </cols>
  <sheetData>
    <row r="1" spans="1:3" x14ac:dyDescent="0.3">
      <c r="A1" s="5" t="s">
        <v>12</v>
      </c>
      <c r="B1" s="5"/>
      <c r="C1" s="5"/>
    </row>
    <row r="2" spans="1:3" x14ac:dyDescent="0.3">
      <c r="A2" t="s">
        <v>13</v>
      </c>
      <c r="B2" s="2"/>
      <c r="C2" s="2">
        <v>8000000</v>
      </c>
    </row>
    <row r="3" spans="1:3" x14ac:dyDescent="0.3">
      <c r="A3" t="s">
        <v>14</v>
      </c>
      <c r="B3" s="2"/>
      <c r="C3" s="2"/>
    </row>
    <row r="4" spans="1:3" x14ac:dyDescent="0.3">
      <c r="A4" t="s">
        <v>15</v>
      </c>
      <c r="B4" s="2">
        <f>-C2*0.03</f>
        <v>-240000</v>
      </c>
      <c r="C4" s="2"/>
    </row>
    <row r="5" spans="1:3" x14ac:dyDescent="0.3">
      <c r="A5" t="s">
        <v>16</v>
      </c>
      <c r="B5" s="2">
        <f>-C2*0.02</f>
        <v>-160000</v>
      </c>
      <c r="C5" s="2"/>
    </row>
    <row r="6" spans="1:3" x14ac:dyDescent="0.3">
      <c r="A6" t="s">
        <v>17</v>
      </c>
      <c r="B6" s="3">
        <f>C2*0.05</f>
        <v>400000</v>
      </c>
      <c r="C6" s="7">
        <f>SUM(B4:B6)</f>
        <v>0</v>
      </c>
    </row>
    <row r="7" spans="1:3" x14ac:dyDescent="0.3">
      <c r="A7" t="s">
        <v>18</v>
      </c>
      <c r="B7" s="2"/>
      <c r="C7" s="2">
        <f>C2+C6</f>
        <v>8000000</v>
      </c>
    </row>
    <row r="8" spans="1:3" x14ac:dyDescent="0.3">
      <c r="A8" t="s">
        <v>21</v>
      </c>
      <c r="B8" s="2"/>
      <c r="C8" s="3">
        <f>-C7*0.3%</f>
        <v>-24000</v>
      </c>
    </row>
    <row r="9" spans="1:3" x14ac:dyDescent="0.3">
      <c r="A9" t="s">
        <v>19</v>
      </c>
      <c r="B9" s="2"/>
      <c r="C9" s="2">
        <f>SUM(C7:C8)</f>
        <v>7976000</v>
      </c>
    </row>
    <row r="10" spans="1:3" x14ac:dyDescent="0.3">
      <c r="A10" t="s">
        <v>22</v>
      </c>
      <c r="B10" s="2"/>
      <c r="C10" s="2">
        <f>C9*4.5%</f>
        <v>358920</v>
      </c>
    </row>
    <row r="11" spans="1:3" ht="15" thickBot="1" x14ac:dyDescent="0.35">
      <c r="A11" t="s">
        <v>20</v>
      </c>
      <c r="B11" s="2"/>
      <c r="C11" s="4">
        <f>SUM(C9:C10)</f>
        <v>8334920</v>
      </c>
    </row>
    <row r="12" spans="1:3" ht="15" thickTop="1" x14ac:dyDescent="0.3">
      <c r="B12" s="2"/>
      <c r="C12" s="2"/>
    </row>
    <row r="13" spans="1:3" x14ac:dyDescent="0.3">
      <c r="A13" s="5" t="s">
        <v>23</v>
      </c>
      <c r="B13" s="5"/>
      <c r="C13" s="5"/>
    </row>
    <row r="14" spans="1:3" x14ac:dyDescent="0.3">
      <c r="A14" t="s">
        <v>24</v>
      </c>
      <c r="C14" s="1">
        <f>C2</f>
        <v>8000000</v>
      </c>
    </row>
    <row r="15" spans="1:3" x14ac:dyDescent="0.3">
      <c r="A15" t="s">
        <v>25</v>
      </c>
      <c r="B15" s="1" t="s">
        <v>28</v>
      </c>
      <c r="C15" s="1">
        <f>B4</f>
        <v>-240000</v>
      </c>
    </row>
    <row r="16" spans="1:3" x14ac:dyDescent="0.3">
      <c r="B16" s="1" t="s">
        <v>29</v>
      </c>
      <c r="C16" s="1">
        <f>B5</f>
        <v>-160000</v>
      </c>
    </row>
    <row r="17" spans="1:4" x14ac:dyDescent="0.3">
      <c r="B17" s="1" t="s">
        <v>17</v>
      </c>
      <c r="C17" s="1">
        <f>B6</f>
        <v>400000</v>
      </c>
      <c r="D17" s="1">
        <f>C17+C16+C15</f>
        <v>0</v>
      </c>
    </row>
    <row r="18" spans="1:4" x14ac:dyDescent="0.3">
      <c r="A18" t="s">
        <v>26</v>
      </c>
      <c r="B18" s="1"/>
      <c r="C18" s="1">
        <f>(C14+D17)*0.3%</f>
        <v>24000</v>
      </c>
    </row>
    <row r="19" spans="1:4" x14ac:dyDescent="0.3">
      <c r="A19" t="s">
        <v>27</v>
      </c>
      <c r="C19" s="1">
        <f>(C18+D17)*4.5%</f>
        <v>1080</v>
      </c>
    </row>
    <row r="21" spans="1:4" x14ac:dyDescent="0.3">
      <c r="A21" s="6" t="s">
        <v>30</v>
      </c>
      <c r="B21" s="6"/>
      <c r="C21" s="1">
        <f>((C14+D17)*0.997)*1.045</f>
        <v>8334919.9999999991</v>
      </c>
    </row>
  </sheetData>
  <mergeCells count="3">
    <mergeCell ref="A1:C1"/>
    <mergeCell ref="A13:C13"/>
    <mergeCell ref="A21:B21"/>
  </mergeCells>
  <pageMargins left="0" right="0" top="0" bottom="0" header="0" footer="0"/>
  <pageSetup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0886B-A29C-4D17-9BB5-937A383C5787}">
  <dimension ref="A1:N267"/>
  <sheetViews>
    <sheetView workbookViewId="0">
      <selection activeCell="M43" sqref="M43"/>
    </sheetView>
  </sheetViews>
  <sheetFormatPr baseColWidth="10" defaultRowHeight="14.4" x14ac:dyDescent="0.3"/>
  <cols>
    <col min="4" max="4" width="17.33203125" bestFit="1" customWidth="1"/>
    <col min="5" max="5" width="20.5546875" bestFit="1" customWidth="1"/>
  </cols>
  <sheetData>
    <row r="1" spans="1:14" ht="31.2" x14ac:dyDescent="0.3">
      <c r="A1" s="8" t="s">
        <v>31</v>
      </c>
      <c r="B1" s="8"/>
      <c r="C1" s="8"/>
      <c r="D1" s="8"/>
      <c r="E1" s="8"/>
      <c r="F1" s="8"/>
    </row>
    <row r="3" spans="1:14" ht="15.6" x14ac:dyDescent="0.3">
      <c r="A3" s="9" t="s">
        <v>32</v>
      </c>
      <c r="B3" s="9"/>
      <c r="C3" s="10"/>
      <c r="D3" s="12">
        <v>480000</v>
      </c>
      <c r="E3" s="10"/>
      <c r="F3" s="10"/>
      <c r="G3" s="10"/>
      <c r="H3" s="10"/>
      <c r="I3" s="10"/>
      <c r="J3" s="10"/>
      <c r="K3" s="10"/>
      <c r="L3" s="10"/>
      <c r="M3" s="10"/>
      <c r="N3" s="10"/>
    </row>
    <row r="4" spans="1:14" ht="15.6" x14ac:dyDescent="0.3">
      <c r="A4" s="11" t="s">
        <v>33</v>
      </c>
      <c r="B4" s="11"/>
      <c r="C4" s="10"/>
      <c r="D4" s="12">
        <v>40000</v>
      </c>
      <c r="E4" s="10"/>
      <c r="F4" s="10"/>
      <c r="G4" s="10"/>
      <c r="H4" s="10"/>
      <c r="I4" s="10"/>
      <c r="J4" s="10"/>
      <c r="K4" s="10"/>
      <c r="L4" s="10"/>
      <c r="M4" s="10"/>
      <c r="N4" s="10"/>
    </row>
    <row r="5" spans="1:14" ht="15.6" x14ac:dyDescent="0.3">
      <c r="A5" s="11" t="s">
        <v>34</v>
      </c>
      <c r="B5" s="11"/>
      <c r="C5" s="10"/>
      <c r="D5" s="12">
        <f>D4+D3</f>
        <v>520000</v>
      </c>
      <c r="E5" s="10"/>
      <c r="F5" s="10"/>
      <c r="G5" s="10"/>
      <c r="H5" s="10"/>
      <c r="I5" s="10"/>
      <c r="J5" s="10"/>
      <c r="K5" s="10"/>
      <c r="L5" s="10"/>
      <c r="M5" s="10"/>
      <c r="N5" s="10"/>
    </row>
    <row r="6" spans="1:14" ht="15.6" x14ac:dyDescent="0.3">
      <c r="A6" s="11" t="s">
        <v>35</v>
      </c>
      <c r="B6" s="11"/>
      <c r="C6" s="10"/>
      <c r="D6" s="12">
        <v>38800</v>
      </c>
      <c r="E6" s="10"/>
      <c r="F6" s="10"/>
      <c r="G6" s="10"/>
      <c r="H6" s="10"/>
      <c r="I6" s="10"/>
      <c r="J6" s="10"/>
      <c r="K6" s="10"/>
      <c r="L6" s="10"/>
      <c r="M6" s="10"/>
      <c r="N6" s="10"/>
    </row>
    <row r="7" spans="1:14" ht="16.2" thickBot="1" x14ac:dyDescent="0.35">
      <c r="A7" s="13" t="s">
        <v>36</v>
      </c>
      <c r="B7" s="13"/>
      <c r="C7" s="13"/>
      <c r="D7" s="14">
        <f>D5-D6</f>
        <v>481200</v>
      </c>
      <c r="E7" s="10"/>
      <c r="F7" s="10"/>
      <c r="G7" s="10"/>
      <c r="H7" s="10"/>
      <c r="I7" s="10"/>
      <c r="J7" s="10"/>
      <c r="K7" s="10"/>
      <c r="L7" s="10"/>
      <c r="M7" s="10"/>
      <c r="N7" s="10"/>
    </row>
    <row r="8" spans="1:14" ht="16.2" thickTop="1" x14ac:dyDescent="0.3">
      <c r="A8" s="10"/>
      <c r="B8" s="10"/>
      <c r="C8" s="10"/>
      <c r="D8" s="12"/>
      <c r="E8" s="10"/>
      <c r="F8" s="10"/>
      <c r="G8" s="10"/>
      <c r="H8" s="10"/>
      <c r="I8" s="10"/>
      <c r="J8" s="10"/>
      <c r="K8" s="10"/>
      <c r="L8" s="10"/>
      <c r="M8" s="10"/>
      <c r="N8" s="10"/>
    </row>
    <row r="9" spans="1:14" ht="15.6" x14ac:dyDescent="0.3">
      <c r="A9" s="10"/>
      <c r="B9" s="10"/>
      <c r="C9" s="10"/>
      <c r="D9" s="12"/>
      <c r="E9" s="10"/>
      <c r="F9" s="10"/>
      <c r="G9" s="10" t="s">
        <v>40</v>
      </c>
      <c r="H9" s="10"/>
      <c r="I9" s="10"/>
      <c r="J9" s="10"/>
      <c r="K9" s="10"/>
      <c r="L9" s="10"/>
      <c r="M9" s="10"/>
      <c r="N9" s="10"/>
    </row>
    <row r="10" spans="1:14" ht="15.6" x14ac:dyDescent="0.3">
      <c r="A10" s="9" t="s">
        <v>37</v>
      </c>
      <c r="B10" s="9"/>
      <c r="C10" s="9" t="s">
        <v>38</v>
      </c>
      <c r="D10" s="9"/>
      <c r="E10" s="12">
        <f>D3/D4</f>
        <v>12</v>
      </c>
      <c r="F10" s="10"/>
      <c r="G10" s="13" t="s">
        <v>41</v>
      </c>
      <c r="H10" s="13"/>
      <c r="I10" s="12">
        <f>D6</f>
        <v>38800</v>
      </c>
      <c r="J10" s="10"/>
      <c r="K10" s="10"/>
      <c r="L10" s="10"/>
      <c r="M10" s="10"/>
      <c r="N10" s="10"/>
    </row>
    <row r="11" spans="1:14" ht="15.6" x14ac:dyDescent="0.3">
      <c r="A11" s="10"/>
      <c r="B11" s="10"/>
      <c r="C11" s="15" t="s">
        <v>33</v>
      </c>
      <c r="D11" s="15"/>
      <c r="E11" s="10"/>
      <c r="F11" s="10"/>
      <c r="G11" s="13" t="s">
        <v>33</v>
      </c>
      <c r="H11" s="13"/>
      <c r="I11" s="12">
        <f>D4</f>
        <v>40000</v>
      </c>
      <c r="J11" s="10"/>
      <c r="K11" s="10"/>
      <c r="L11" s="10"/>
      <c r="M11" s="10"/>
      <c r="N11" s="10"/>
    </row>
    <row r="12" spans="1:14" ht="31.2" x14ac:dyDescent="0.3">
      <c r="A12" s="10"/>
      <c r="B12" s="10"/>
      <c r="C12" s="10"/>
      <c r="D12" s="10"/>
      <c r="E12" s="10"/>
      <c r="F12" s="10"/>
      <c r="G12" s="10"/>
      <c r="H12" s="10"/>
      <c r="I12" s="12">
        <f>I10-I11</f>
        <v>-1200</v>
      </c>
      <c r="J12" s="17" t="s">
        <v>42</v>
      </c>
      <c r="K12" s="10">
        <v>1200</v>
      </c>
      <c r="L12" s="10"/>
      <c r="M12" s="10"/>
      <c r="N12" s="10"/>
    </row>
    <row r="13" spans="1:14" ht="15.6" x14ac:dyDescent="0.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</row>
    <row r="14" spans="1:14" ht="15.6" x14ac:dyDescent="0.3">
      <c r="A14" s="16" t="s">
        <v>36</v>
      </c>
      <c r="B14" s="16"/>
      <c r="C14" s="16"/>
      <c r="D14" s="16"/>
      <c r="E14" s="10"/>
      <c r="F14" s="10"/>
      <c r="G14" s="10"/>
      <c r="H14" s="10"/>
      <c r="I14" s="10"/>
      <c r="J14" s="10"/>
      <c r="K14" s="10"/>
      <c r="L14" s="10"/>
      <c r="M14" s="10"/>
      <c r="N14" s="10"/>
    </row>
    <row r="15" spans="1:14" ht="15.6" x14ac:dyDescent="0.3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</row>
    <row r="16" spans="1:14" ht="15.6" x14ac:dyDescent="0.3">
      <c r="A16" s="11" t="s">
        <v>38</v>
      </c>
      <c r="B16" s="11"/>
      <c r="C16" s="11"/>
      <c r="D16" s="12">
        <f>D3</f>
        <v>480000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</row>
    <row r="17" spans="1:14" ht="15.6" x14ac:dyDescent="0.3">
      <c r="A17" s="11" t="s">
        <v>39</v>
      </c>
      <c r="B17" s="11"/>
      <c r="C17" s="11"/>
      <c r="D17" s="12">
        <f>K12</f>
        <v>1200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</row>
    <row r="18" spans="1:14" ht="15.6" x14ac:dyDescent="0.3">
      <c r="A18" s="11" t="s">
        <v>36</v>
      </c>
      <c r="B18" s="11"/>
      <c r="C18" s="11"/>
      <c r="D18" s="12">
        <f>D16+D17</f>
        <v>481200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</row>
    <row r="19" spans="1:14" ht="15.6" x14ac:dyDescent="0.3">
      <c r="A19" s="22"/>
      <c r="B19" s="22"/>
      <c r="C19" s="22"/>
      <c r="D19" s="12"/>
      <c r="E19" s="10"/>
      <c r="F19" s="10"/>
      <c r="G19" s="10"/>
      <c r="H19" s="10"/>
      <c r="I19" s="10"/>
      <c r="J19" s="10"/>
      <c r="K19" s="10"/>
      <c r="L19" s="10"/>
      <c r="M19" s="10"/>
      <c r="N19" s="10"/>
    </row>
    <row r="20" spans="1:14" ht="25.8" x14ac:dyDescent="0.5">
      <c r="A20" s="23" t="s">
        <v>50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10"/>
    </row>
    <row r="21" spans="1:14" ht="15.6" x14ac:dyDescent="0.3">
      <c r="A21" s="22"/>
      <c r="B21" s="22"/>
      <c r="C21" s="22"/>
      <c r="D21" s="28" t="s">
        <v>51</v>
      </c>
      <c r="E21" s="18" t="s">
        <v>52</v>
      </c>
      <c r="F21" s="10"/>
      <c r="G21" s="10"/>
      <c r="H21" s="10"/>
      <c r="I21" s="10"/>
      <c r="J21" s="10"/>
      <c r="K21" s="10"/>
      <c r="L21" s="10"/>
      <c r="M21" s="10"/>
      <c r="N21" s="10"/>
    </row>
    <row r="22" spans="1:14" ht="15.6" x14ac:dyDescent="0.3">
      <c r="A22" s="22"/>
      <c r="B22" s="24" t="s">
        <v>0</v>
      </c>
      <c r="C22" s="26">
        <v>0.06</v>
      </c>
      <c r="D22" s="29">
        <f>$D$16</f>
        <v>480000</v>
      </c>
      <c r="E22" s="30">
        <f>D22*C22</f>
        <v>28800</v>
      </c>
      <c r="F22" s="10"/>
      <c r="G22" s="10"/>
      <c r="H22" s="10"/>
      <c r="I22" s="10"/>
      <c r="J22" s="10"/>
      <c r="K22" s="10"/>
      <c r="L22" s="10"/>
      <c r="M22" s="10"/>
      <c r="N22" s="10"/>
    </row>
    <row r="23" spans="1:14" ht="15.6" x14ac:dyDescent="0.3">
      <c r="A23" s="22"/>
      <c r="B23" s="25" t="s">
        <v>1</v>
      </c>
      <c r="C23" s="26">
        <v>7.0000000000000007E-2</v>
      </c>
      <c r="D23" s="29">
        <f t="shared" ref="D23:D33" si="0">$D$16</f>
        <v>480000</v>
      </c>
      <c r="E23" s="30">
        <f t="shared" ref="E23:E33" si="1">D23*C23</f>
        <v>33600</v>
      </c>
      <c r="F23" s="10"/>
      <c r="G23" s="10"/>
      <c r="H23" s="10"/>
      <c r="I23" s="10"/>
      <c r="J23" s="10"/>
      <c r="K23" s="10"/>
      <c r="L23" s="10"/>
      <c r="M23" s="10"/>
      <c r="N23" s="10"/>
    </row>
    <row r="24" spans="1:14" ht="15.6" x14ac:dyDescent="0.3">
      <c r="A24" s="22"/>
      <c r="B24" s="25" t="s">
        <v>49</v>
      </c>
      <c r="C24" s="26">
        <v>0.1</v>
      </c>
      <c r="D24" s="29">
        <f t="shared" si="0"/>
        <v>480000</v>
      </c>
      <c r="E24" s="30">
        <f t="shared" si="1"/>
        <v>48000</v>
      </c>
      <c r="F24" s="10"/>
      <c r="G24" s="10"/>
      <c r="H24" s="10"/>
      <c r="I24" s="10"/>
      <c r="J24" s="10"/>
      <c r="K24" s="10"/>
      <c r="L24" s="10"/>
      <c r="M24" s="10"/>
      <c r="N24" s="10"/>
    </row>
    <row r="25" spans="1:14" ht="15.6" x14ac:dyDescent="0.3">
      <c r="A25" s="22"/>
      <c r="B25" s="25" t="s">
        <v>2</v>
      </c>
      <c r="C25" s="26">
        <v>0.04</v>
      </c>
      <c r="D25" s="29">
        <f t="shared" si="0"/>
        <v>480000</v>
      </c>
      <c r="E25" s="30">
        <f t="shared" si="1"/>
        <v>19200</v>
      </c>
      <c r="F25" s="10"/>
      <c r="G25" s="10"/>
      <c r="H25" s="10"/>
      <c r="I25" s="10"/>
      <c r="J25" s="10"/>
      <c r="K25" s="10"/>
      <c r="L25" s="10"/>
      <c r="M25" s="10"/>
      <c r="N25" s="10"/>
    </row>
    <row r="26" spans="1:14" ht="15.6" x14ac:dyDescent="0.3">
      <c r="A26" s="22"/>
      <c r="B26" s="25" t="s">
        <v>3</v>
      </c>
      <c r="C26" s="26">
        <v>0.08</v>
      </c>
      <c r="D26" s="29">
        <f t="shared" si="0"/>
        <v>480000</v>
      </c>
      <c r="E26" s="30">
        <f t="shared" si="1"/>
        <v>38400</v>
      </c>
      <c r="F26" s="10"/>
      <c r="G26" s="10"/>
      <c r="H26" s="10"/>
      <c r="I26" s="10"/>
      <c r="J26" s="10"/>
      <c r="K26" s="10"/>
      <c r="L26" s="10"/>
      <c r="M26" s="10"/>
      <c r="N26" s="10"/>
    </row>
    <row r="27" spans="1:14" ht="15.6" x14ac:dyDescent="0.3">
      <c r="A27" s="22"/>
      <c r="B27" s="25" t="s">
        <v>4</v>
      </c>
      <c r="C27" s="26">
        <v>0.06</v>
      </c>
      <c r="D27" s="29">
        <f t="shared" si="0"/>
        <v>480000</v>
      </c>
      <c r="E27" s="30">
        <f t="shared" si="1"/>
        <v>28800</v>
      </c>
      <c r="F27" s="10"/>
      <c r="G27" s="10"/>
      <c r="H27" s="10"/>
      <c r="I27" s="10"/>
      <c r="J27" s="10"/>
      <c r="K27" s="10"/>
      <c r="L27" s="10"/>
      <c r="M27" s="10"/>
      <c r="N27" s="10"/>
    </row>
    <row r="28" spans="1:14" ht="15.6" x14ac:dyDescent="0.3">
      <c r="A28" s="22"/>
      <c r="B28" s="25" t="s">
        <v>5</v>
      </c>
      <c r="C28" s="26">
        <v>0.05</v>
      </c>
      <c r="D28" s="29">
        <f t="shared" si="0"/>
        <v>480000</v>
      </c>
      <c r="E28" s="30">
        <f t="shared" si="1"/>
        <v>24000</v>
      </c>
      <c r="F28" s="10"/>
      <c r="G28" s="10"/>
      <c r="H28" s="10"/>
      <c r="I28" s="10"/>
      <c r="J28" s="10"/>
      <c r="K28" s="10"/>
      <c r="L28" s="10"/>
      <c r="M28" s="10"/>
      <c r="N28" s="10"/>
    </row>
    <row r="29" spans="1:14" ht="15.6" x14ac:dyDescent="0.3">
      <c r="A29" s="22"/>
      <c r="B29" s="25" t="s">
        <v>6</v>
      </c>
      <c r="C29" s="26">
        <v>0.09</v>
      </c>
      <c r="D29" s="29">
        <f t="shared" si="0"/>
        <v>480000</v>
      </c>
      <c r="E29" s="30">
        <f t="shared" si="1"/>
        <v>43200</v>
      </c>
      <c r="F29" s="10"/>
      <c r="G29" s="10"/>
      <c r="H29" s="10"/>
      <c r="I29" s="10"/>
      <c r="J29" s="10"/>
      <c r="K29" s="10"/>
      <c r="L29" s="10"/>
      <c r="M29" s="10"/>
      <c r="N29" s="10"/>
    </row>
    <row r="30" spans="1:14" ht="15.6" x14ac:dyDescent="0.3">
      <c r="A30" s="22"/>
      <c r="B30" s="25" t="s">
        <v>7</v>
      </c>
      <c r="C30" s="26">
        <v>0.1</v>
      </c>
      <c r="D30" s="29">
        <f t="shared" si="0"/>
        <v>480000</v>
      </c>
      <c r="E30" s="30">
        <f t="shared" si="1"/>
        <v>48000</v>
      </c>
      <c r="F30" s="10"/>
      <c r="G30" s="10"/>
      <c r="H30" s="10"/>
      <c r="I30" s="10"/>
      <c r="J30" s="10"/>
      <c r="K30" s="10"/>
      <c r="L30" s="10"/>
      <c r="M30" s="10"/>
      <c r="N30" s="10"/>
    </row>
    <row r="31" spans="1:14" ht="15.6" x14ac:dyDescent="0.3">
      <c r="A31" s="22"/>
      <c r="B31" s="25" t="s">
        <v>8</v>
      </c>
      <c r="C31" s="26">
        <v>0.08</v>
      </c>
      <c r="D31" s="29">
        <f t="shared" si="0"/>
        <v>480000</v>
      </c>
      <c r="E31" s="30">
        <f t="shared" si="1"/>
        <v>38400</v>
      </c>
      <c r="F31" s="10"/>
      <c r="G31" s="10"/>
      <c r="H31" s="10"/>
      <c r="I31" s="10"/>
      <c r="J31" s="10"/>
      <c r="K31" s="10"/>
      <c r="L31" s="10"/>
      <c r="M31" s="10"/>
      <c r="N31" s="10"/>
    </row>
    <row r="32" spans="1:14" ht="15.6" x14ac:dyDescent="0.3">
      <c r="A32" s="22"/>
      <c r="B32" s="25" t="s">
        <v>9</v>
      </c>
      <c r="C32" s="26">
        <v>0.15</v>
      </c>
      <c r="D32" s="29">
        <f t="shared" si="0"/>
        <v>480000</v>
      </c>
      <c r="E32" s="30">
        <f t="shared" si="1"/>
        <v>72000</v>
      </c>
      <c r="F32" s="10"/>
      <c r="G32" s="10"/>
      <c r="H32" s="10"/>
      <c r="I32" s="10"/>
      <c r="J32" s="10"/>
      <c r="K32" s="10"/>
      <c r="L32" s="10"/>
      <c r="M32" s="10"/>
      <c r="N32" s="10"/>
    </row>
    <row r="33" spans="1:14" ht="15.6" x14ac:dyDescent="0.3">
      <c r="A33" s="22"/>
      <c r="B33" s="25" t="s">
        <v>10</v>
      </c>
      <c r="C33" s="26">
        <v>0.12</v>
      </c>
      <c r="D33" s="29">
        <f t="shared" si="0"/>
        <v>480000</v>
      </c>
      <c r="E33" s="30">
        <f t="shared" si="1"/>
        <v>57600</v>
      </c>
      <c r="F33" s="10"/>
      <c r="G33" s="10"/>
      <c r="H33" s="10"/>
      <c r="I33" s="10"/>
      <c r="J33" s="10"/>
      <c r="K33" s="10"/>
      <c r="L33" s="10"/>
      <c r="M33" s="10"/>
      <c r="N33" s="10"/>
    </row>
    <row r="34" spans="1:14" ht="15.6" x14ac:dyDescent="0.3">
      <c r="A34" s="22"/>
      <c r="B34" s="25" t="s">
        <v>11</v>
      </c>
      <c r="C34" s="27">
        <f>SUM(C22:C33)</f>
        <v>1</v>
      </c>
      <c r="D34" s="28"/>
      <c r="E34" s="28">
        <f>SUM(E22:E33)</f>
        <v>480000</v>
      </c>
      <c r="F34" s="10"/>
      <c r="G34" s="10"/>
      <c r="H34" s="10"/>
      <c r="I34" s="10"/>
      <c r="J34" s="10"/>
      <c r="K34" s="10"/>
      <c r="L34" s="10"/>
      <c r="M34" s="10"/>
      <c r="N34" s="10"/>
    </row>
    <row r="35" spans="1:14" ht="15.6" x14ac:dyDescent="0.3">
      <c r="A35" s="22"/>
      <c r="B35" s="22"/>
      <c r="C35" s="22"/>
      <c r="D35" s="12"/>
      <c r="E35" s="10"/>
      <c r="F35" s="10"/>
      <c r="G35" s="10"/>
      <c r="H35" s="10"/>
      <c r="I35" s="10"/>
      <c r="J35" s="10"/>
      <c r="K35" s="10"/>
      <c r="L35" s="10"/>
      <c r="M35" s="10"/>
      <c r="N35" s="10"/>
    </row>
    <row r="36" spans="1:14" ht="15.6" x14ac:dyDescent="0.3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</row>
    <row r="37" spans="1:14" ht="15.6" x14ac:dyDescent="0.3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</row>
    <row r="38" spans="1:14" ht="15.6" x14ac:dyDescent="0.3">
      <c r="A38" s="19"/>
      <c r="B38" s="19" t="s">
        <v>48</v>
      </c>
      <c r="C38" s="19" t="s">
        <v>1</v>
      </c>
      <c r="D38" s="19" t="s">
        <v>49</v>
      </c>
      <c r="E38" s="19" t="s">
        <v>2</v>
      </c>
      <c r="F38" s="19" t="s">
        <v>3</v>
      </c>
      <c r="G38" s="19" t="s">
        <v>4</v>
      </c>
      <c r="H38" s="19" t="s">
        <v>5</v>
      </c>
      <c r="I38" s="19" t="s">
        <v>6</v>
      </c>
      <c r="J38" s="19" t="s">
        <v>7</v>
      </c>
      <c r="K38" s="19" t="s">
        <v>8</v>
      </c>
      <c r="L38" s="19" t="s">
        <v>9</v>
      </c>
      <c r="M38" s="19" t="s">
        <v>10</v>
      </c>
      <c r="N38" s="10"/>
    </row>
    <row r="39" spans="1:14" ht="31.2" x14ac:dyDescent="0.3">
      <c r="A39" s="20" t="s">
        <v>43</v>
      </c>
      <c r="B39" s="21">
        <v>38800</v>
      </c>
      <c r="C39" s="21">
        <f>B43</f>
        <v>50100</v>
      </c>
      <c r="D39" s="21">
        <f t="shared" ref="D39:M39" si="2">C43</f>
        <v>56600</v>
      </c>
      <c r="E39" s="21">
        <f t="shared" si="2"/>
        <v>48700</v>
      </c>
      <c r="F39" s="21">
        <f t="shared" si="2"/>
        <v>69600</v>
      </c>
      <c r="G39" s="21">
        <f t="shared" si="2"/>
        <v>71300</v>
      </c>
      <c r="H39" s="21">
        <f t="shared" si="2"/>
        <v>82600</v>
      </c>
      <c r="I39" s="21">
        <f t="shared" si="2"/>
        <v>98700</v>
      </c>
      <c r="J39" s="21">
        <f t="shared" si="2"/>
        <v>95600</v>
      </c>
      <c r="K39" s="21">
        <f t="shared" si="2"/>
        <v>87700</v>
      </c>
      <c r="L39" s="21">
        <f t="shared" si="2"/>
        <v>89400</v>
      </c>
      <c r="M39" s="21">
        <f t="shared" si="2"/>
        <v>57500</v>
      </c>
      <c r="N39" s="10"/>
    </row>
    <row r="40" spans="1:14" ht="46.8" x14ac:dyDescent="0.3">
      <c r="A40" s="20" t="s">
        <v>44</v>
      </c>
      <c r="B40" s="21">
        <f>$D$18/12</f>
        <v>40100</v>
      </c>
      <c r="C40" s="21">
        <f t="shared" ref="C40:M40" si="3">$D$18/12</f>
        <v>40100</v>
      </c>
      <c r="D40" s="21">
        <f t="shared" si="3"/>
        <v>40100</v>
      </c>
      <c r="E40" s="21">
        <f t="shared" si="3"/>
        <v>40100</v>
      </c>
      <c r="F40" s="21">
        <f t="shared" si="3"/>
        <v>40100</v>
      </c>
      <c r="G40" s="21">
        <f t="shared" si="3"/>
        <v>40100</v>
      </c>
      <c r="H40" s="21">
        <f t="shared" si="3"/>
        <v>40100</v>
      </c>
      <c r="I40" s="21">
        <f t="shared" si="3"/>
        <v>40100</v>
      </c>
      <c r="J40" s="21">
        <f t="shared" si="3"/>
        <v>40100</v>
      </c>
      <c r="K40" s="21">
        <f t="shared" si="3"/>
        <v>40100</v>
      </c>
      <c r="L40" s="21">
        <f t="shared" si="3"/>
        <v>40100</v>
      </c>
      <c r="M40" s="21">
        <f t="shared" si="3"/>
        <v>40100</v>
      </c>
      <c r="N40" s="10"/>
    </row>
    <row r="41" spans="1:14" ht="15.6" x14ac:dyDescent="0.3">
      <c r="A41" s="20" t="s">
        <v>45</v>
      </c>
      <c r="B41" s="21">
        <f>SUM(B39:B40)</f>
        <v>78900</v>
      </c>
      <c r="C41" s="21">
        <f t="shared" ref="C41:M41" si="4">SUM(C39:C40)</f>
        <v>90200</v>
      </c>
      <c r="D41" s="21">
        <f t="shared" si="4"/>
        <v>96700</v>
      </c>
      <c r="E41" s="21">
        <f t="shared" si="4"/>
        <v>88800</v>
      </c>
      <c r="F41" s="21">
        <f t="shared" si="4"/>
        <v>109700</v>
      </c>
      <c r="G41" s="21">
        <f t="shared" si="4"/>
        <v>111400</v>
      </c>
      <c r="H41" s="21">
        <f t="shared" si="4"/>
        <v>122700</v>
      </c>
      <c r="I41" s="21">
        <f t="shared" si="4"/>
        <v>138800</v>
      </c>
      <c r="J41" s="21">
        <f t="shared" si="4"/>
        <v>135700</v>
      </c>
      <c r="K41" s="21">
        <f t="shared" si="4"/>
        <v>127800</v>
      </c>
      <c r="L41" s="21">
        <f t="shared" si="4"/>
        <v>129500</v>
      </c>
      <c r="M41" s="21">
        <f t="shared" si="4"/>
        <v>97600</v>
      </c>
      <c r="N41" s="10"/>
    </row>
    <row r="42" spans="1:14" ht="62.4" x14ac:dyDescent="0.3">
      <c r="A42" s="20" t="s">
        <v>46</v>
      </c>
      <c r="B42" s="21">
        <f>E22</f>
        <v>28800</v>
      </c>
      <c r="C42" s="21">
        <f>E23</f>
        <v>33600</v>
      </c>
      <c r="D42" s="21">
        <f>E24</f>
        <v>48000</v>
      </c>
      <c r="E42" s="21">
        <f>E25</f>
        <v>19200</v>
      </c>
      <c r="F42" s="21">
        <f>E26</f>
        <v>38400</v>
      </c>
      <c r="G42" s="21">
        <f>E27</f>
        <v>28800</v>
      </c>
      <c r="H42" s="21">
        <f>E28</f>
        <v>24000</v>
      </c>
      <c r="I42" s="21">
        <f>E29</f>
        <v>43200</v>
      </c>
      <c r="J42" s="21">
        <f>E30</f>
        <v>48000</v>
      </c>
      <c r="K42" s="21">
        <f>E31</f>
        <v>38400</v>
      </c>
      <c r="L42" s="21">
        <f>E32</f>
        <v>72000</v>
      </c>
      <c r="M42" s="21">
        <f>E33</f>
        <v>57600</v>
      </c>
      <c r="N42" s="10"/>
    </row>
    <row r="43" spans="1:14" ht="31.2" x14ac:dyDescent="0.3">
      <c r="A43" s="20" t="s">
        <v>47</v>
      </c>
      <c r="B43" s="21">
        <f>B41-B42</f>
        <v>50100</v>
      </c>
      <c r="C43" s="21">
        <f t="shared" ref="C43:M43" si="5">C41-C42</f>
        <v>56600</v>
      </c>
      <c r="D43" s="21">
        <f t="shared" si="5"/>
        <v>48700</v>
      </c>
      <c r="E43" s="21">
        <f t="shared" si="5"/>
        <v>69600</v>
      </c>
      <c r="F43" s="21">
        <f t="shared" si="5"/>
        <v>71300</v>
      </c>
      <c r="G43" s="21">
        <f t="shared" si="5"/>
        <v>82600</v>
      </c>
      <c r="H43" s="21">
        <f t="shared" si="5"/>
        <v>98700</v>
      </c>
      <c r="I43" s="21">
        <f t="shared" si="5"/>
        <v>95600</v>
      </c>
      <c r="J43" s="21">
        <f t="shared" si="5"/>
        <v>87700</v>
      </c>
      <c r="K43" s="21">
        <f t="shared" si="5"/>
        <v>89400</v>
      </c>
      <c r="L43" s="21">
        <f t="shared" si="5"/>
        <v>57500</v>
      </c>
      <c r="M43" s="21">
        <f t="shared" si="5"/>
        <v>40000</v>
      </c>
      <c r="N43" s="10"/>
    </row>
    <row r="44" spans="1:14" ht="15.6" x14ac:dyDescent="0.3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</row>
    <row r="45" spans="1:14" ht="15.6" x14ac:dyDescent="0.3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</row>
    <row r="46" spans="1:14" ht="15.6" x14ac:dyDescent="0.3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</row>
    <row r="47" spans="1:14" ht="15.6" x14ac:dyDescent="0.3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</row>
    <row r="48" spans="1:14" ht="15.6" x14ac:dyDescent="0.3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</row>
    <row r="49" spans="1:14" ht="15.6" x14ac:dyDescent="0.3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</row>
    <row r="50" spans="1:14" ht="15.6" x14ac:dyDescent="0.3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</row>
    <row r="51" spans="1:14" ht="15.6" x14ac:dyDescent="0.3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</row>
    <row r="52" spans="1:14" ht="15.6" x14ac:dyDescent="0.3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</row>
    <row r="53" spans="1:14" ht="15.6" x14ac:dyDescent="0.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</row>
    <row r="54" spans="1:14" ht="15.6" x14ac:dyDescent="0.3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</row>
    <row r="55" spans="1:14" ht="15.6" x14ac:dyDescent="0.3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</row>
    <row r="56" spans="1:14" ht="15.6" x14ac:dyDescent="0.3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</row>
    <row r="57" spans="1:14" ht="15.6" x14ac:dyDescent="0.3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</row>
    <row r="58" spans="1:14" ht="15.6" x14ac:dyDescent="0.3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</row>
    <row r="59" spans="1:14" ht="15.6" x14ac:dyDescent="0.3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</row>
    <row r="60" spans="1:14" ht="15.6" x14ac:dyDescent="0.3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</row>
    <row r="61" spans="1:14" ht="15.6" x14ac:dyDescent="0.3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</row>
    <row r="62" spans="1:14" ht="15.6" x14ac:dyDescent="0.3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</row>
    <row r="63" spans="1:14" ht="15.6" x14ac:dyDescent="0.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</row>
    <row r="64" spans="1:14" ht="15.6" x14ac:dyDescent="0.3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</row>
    <row r="65" spans="1:14" ht="15.6" x14ac:dyDescent="0.3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</row>
    <row r="66" spans="1:14" ht="15.6" x14ac:dyDescent="0.3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</row>
    <row r="67" spans="1:14" ht="15.6" x14ac:dyDescent="0.3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</row>
    <row r="68" spans="1:14" ht="15.6" x14ac:dyDescent="0.3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</row>
    <row r="69" spans="1:14" ht="15.6" x14ac:dyDescent="0.3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</row>
    <row r="70" spans="1:14" ht="15.6" x14ac:dyDescent="0.3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</row>
    <row r="71" spans="1:14" ht="15.6" x14ac:dyDescent="0.3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</row>
    <row r="72" spans="1:14" ht="15.6" x14ac:dyDescent="0.3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</row>
    <row r="73" spans="1:14" ht="15.6" x14ac:dyDescent="0.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</row>
    <row r="74" spans="1:14" ht="15.6" x14ac:dyDescent="0.3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</row>
    <row r="75" spans="1:14" ht="15.6" x14ac:dyDescent="0.3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</row>
    <row r="76" spans="1:14" ht="15.6" x14ac:dyDescent="0.3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</row>
    <row r="77" spans="1:14" ht="15.6" x14ac:dyDescent="0.3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</row>
    <row r="78" spans="1:14" ht="15.6" x14ac:dyDescent="0.3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</row>
    <row r="79" spans="1:14" ht="15.6" x14ac:dyDescent="0.3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</row>
    <row r="80" spans="1:14" ht="15.6" x14ac:dyDescent="0.3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</row>
    <row r="81" spans="1:14" ht="15.6" x14ac:dyDescent="0.3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</row>
    <row r="82" spans="1:14" ht="15.6" x14ac:dyDescent="0.3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</row>
    <row r="83" spans="1:14" ht="15.6" x14ac:dyDescent="0.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</row>
    <row r="84" spans="1:14" ht="15.6" x14ac:dyDescent="0.3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</row>
    <row r="85" spans="1:14" ht="15.6" x14ac:dyDescent="0.3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</row>
    <row r="86" spans="1:14" ht="15.6" x14ac:dyDescent="0.3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</row>
    <row r="87" spans="1:14" ht="15.6" x14ac:dyDescent="0.3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</row>
    <row r="88" spans="1:14" ht="15.6" x14ac:dyDescent="0.3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</row>
    <row r="89" spans="1:14" ht="15.6" x14ac:dyDescent="0.3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</row>
    <row r="90" spans="1:14" ht="15.6" x14ac:dyDescent="0.3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</row>
    <row r="91" spans="1:14" ht="15.6" x14ac:dyDescent="0.3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</row>
    <row r="92" spans="1:14" ht="15.6" x14ac:dyDescent="0.3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</row>
    <row r="93" spans="1:14" ht="15.6" x14ac:dyDescent="0.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</row>
    <row r="94" spans="1:14" ht="15.6" x14ac:dyDescent="0.3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</row>
    <row r="95" spans="1:14" ht="15.6" x14ac:dyDescent="0.3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</row>
    <row r="96" spans="1:14" ht="15.6" x14ac:dyDescent="0.3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</row>
    <row r="97" spans="1:14" ht="15.6" x14ac:dyDescent="0.3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</row>
    <row r="98" spans="1:14" ht="15.6" x14ac:dyDescent="0.3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</row>
    <row r="99" spans="1:14" ht="15.6" x14ac:dyDescent="0.3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</row>
    <row r="100" spans="1:14" ht="15.6" x14ac:dyDescent="0.3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1:14" ht="15.6" x14ac:dyDescent="0.3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1:14" ht="15.6" x14ac:dyDescent="0.3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1:14" ht="15.6" x14ac:dyDescent="0.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1:14" ht="15.6" x14ac:dyDescent="0.3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ht="15.6" x14ac:dyDescent="0.3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1:14" ht="15.6" x14ac:dyDescent="0.3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1:14" ht="15.6" x14ac:dyDescent="0.3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</row>
    <row r="108" spans="1:14" ht="15.6" x14ac:dyDescent="0.3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</row>
    <row r="109" spans="1:14" ht="15.6" x14ac:dyDescent="0.3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</row>
    <row r="110" spans="1:14" ht="15.6" x14ac:dyDescent="0.3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</row>
    <row r="111" spans="1:14" ht="15.6" x14ac:dyDescent="0.3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</row>
    <row r="112" spans="1:14" ht="15.6" x14ac:dyDescent="0.3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</row>
    <row r="113" spans="1:14" ht="15.6" x14ac:dyDescent="0.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1:14" ht="15.6" x14ac:dyDescent="0.3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1:14" ht="15.6" x14ac:dyDescent="0.3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</row>
    <row r="116" spans="1:14" ht="15.6" x14ac:dyDescent="0.3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1:14" ht="15.6" x14ac:dyDescent="0.3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</row>
    <row r="118" spans="1:14" ht="15.6" x14ac:dyDescent="0.3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</row>
    <row r="119" spans="1:14" ht="15.6" x14ac:dyDescent="0.3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</row>
    <row r="120" spans="1:14" ht="15.6" x14ac:dyDescent="0.3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</row>
    <row r="121" spans="1:14" ht="15.6" x14ac:dyDescent="0.3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</row>
    <row r="122" spans="1:14" ht="15.6" x14ac:dyDescent="0.3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</row>
    <row r="123" spans="1:14" ht="15.6" x14ac:dyDescent="0.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</row>
    <row r="124" spans="1:14" ht="15.6" x14ac:dyDescent="0.3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</row>
    <row r="125" spans="1:14" ht="15.6" x14ac:dyDescent="0.3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</row>
    <row r="126" spans="1:14" ht="15.6" x14ac:dyDescent="0.3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</row>
    <row r="127" spans="1:14" ht="15.6" x14ac:dyDescent="0.3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</row>
    <row r="128" spans="1:14" ht="15.6" x14ac:dyDescent="0.3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</row>
    <row r="129" spans="1:14" ht="15.6" x14ac:dyDescent="0.3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</row>
    <row r="130" spans="1:14" ht="15.6" x14ac:dyDescent="0.3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</row>
    <row r="131" spans="1:14" ht="15.6" x14ac:dyDescent="0.3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</row>
    <row r="132" spans="1:14" ht="15.6" x14ac:dyDescent="0.3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</row>
    <row r="133" spans="1:14" ht="15.6" x14ac:dyDescent="0.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</row>
    <row r="134" spans="1:14" ht="15.6" x14ac:dyDescent="0.3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</row>
    <row r="135" spans="1:14" ht="15.6" x14ac:dyDescent="0.3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</row>
    <row r="136" spans="1:14" ht="15.6" x14ac:dyDescent="0.3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</row>
    <row r="137" spans="1:14" ht="15.6" x14ac:dyDescent="0.3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</row>
    <row r="138" spans="1:14" ht="15.6" x14ac:dyDescent="0.3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</row>
    <row r="139" spans="1:14" ht="15.6" x14ac:dyDescent="0.3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</row>
    <row r="140" spans="1:14" ht="15.6" x14ac:dyDescent="0.3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</row>
    <row r="141" spans="1:14" ht="15.6" x14ac:dyDescent="0.3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</row>
    <row r="142" spans="1:14" ht="15.6" x14ac:dyDescent="0.3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</row>
    <row r="143" spans="1:14" ht="15.6" x14ac:dyDescent="0.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</row>
    <row r="144" spans="1:14" ht="15.6" x14ac:dyDescent="0.3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</row>
    <row r="145" spans="1:14" ht="15.6" x14ac:dyDescent="0.3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</row>
    <row r="146" spans="1:14" ht="15.6" x14ac:dyDescent="0.3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</row>
    <row r="147" spans="1:14" ht="15.6" x14ac:dyDescent="0.3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</row>
    <row r="148" spans="1:14" ht="15.6" x14ac:dyDescent="0.3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</row>
    <row r="149" spans="1:14" ht="15.6" x14ac:dyDescent="0.3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</row>
    <row r="150" spans="1:14" ht="15.6" x14ac:dyDescent="0.3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</row>
    <row r="151" spans="1:14" ht="15.6" x14ac:dyDescent="0.3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</row>
    <row r="152" spans="1:14" ht="15.6" x14ac:dyDescent="0.3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</row>
    <row r="153" spans="1:14" ht="15.6" x14ac:dyDescent="0.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</row>
    <row r="154" spans="1:14" ht="15.6" x14ac:dyDescent="0.3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</row>
    <row r="155" spans="1:14" ht="15.6" x14ac:dyDescent="0.3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</row>
    <row r="156" spans="1:14" ht="15.6" x14ac:dyDescent="0.3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</row>
    <row r="157" spans="1:14" ht="15.6" x14ac:dyDescent="0.3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</row>
    <row r="158" spans="1:14" ht="15.6" x14ac:dyDescent="0.3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</row>
    <row r="159" spans="1:14" ht="15.6" x14ac:dyDescent="0.3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</row>
    <row r="160" spans="1:14" ht="15.6" x14ac:dyDescent="0.3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</row>
    <row r="161" spans="1:14" ht="15.6" x14ac:dyDescent="0.3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</row>
    <row r="162" spans="1:14" ht="15.6" x14ac:dyDescent="0.3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</row>
    <row r="163" spans="1:14" ht="15.6" x14ac:dyDescent="0.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</row>
    <row r="164" spans="1:14" ht="15.6" x14ac:dyDescent="0.3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</row>
    <row r="165" spans="1:14" ht="15.6" x14ac:dyDescent="0.3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</row>
    <row r="166" spans="1:14" ht="15.6" x14ac:dyDescent="0.3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</row>
    <row r="167" spans="1:14" ht="15.6" x14ac:dyDescent="0.3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</row>
    <row r="168" spans="1:14" ht="15.6" x14ac:dyDescent="0.3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</row>
    <row r="169" spans="1:14" ht="15.6" x14ac:dyDescent="0.3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</row>
    <row r="170" spans="1:14" ht="15.6" x14ac:dyDescent="0.3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</row>
    <row r="171" spans="1:14" ht="15.6" x14ac:dyDescent="0.3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</row>
    <row r="172" spans="1:14" ht="15.6" x14ac:dyDescent="0.3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</row>
    <row r="173" spans="1:14" ht="15.6" x14ac:dyDescent="0.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</row>
    <row r="174" spans="1:14" ht="15.6" x14ac:dyDescent="0.3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</row>
    <row r="175" spans="1:14" ht="15.6" x14ac:dyDescent="0.3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</row>
    <row r="176" spans="1:14" ht="15.6" x14ac:dyDescent="0.3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</row>
    <row r="177" spans="1:14" ht="15.6" x14ac:dyDescent="0.3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</row>
    <row r="178" spans="1:14" ht="15.6" x14ac:dyDescent="0.3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</row>
    <row r="179" spans="1:14" ht="15.6" x14ac:dyDescent="0.3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</row>
    <row r="180" spans="1:14" ht="15.6" x14ac:dyDescent="0.3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</row>
    <row r="181" spans="1:14" ht="15.6" x14ac:dyDescent="0.3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</row>
    <row r="182" spans="1:14" ht="15.6" x14ac:dyDescent="0.3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</row>
    <row r="183" spans="1:14" ht="15.6" x14ac:dyDescent="0.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</row>
    <row r="184" spans="1:14" ht="15.6" x14ac:dyDescent="0.3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</row>
    <row r="185" spans="1:14" ht="15.6" x14ac:dyDescent="0.3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</row>
    <row r="186" spans="1:14" ht="15.6" x14ac:dyDescent="0.3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</row>
    <row r="187" spans="1:14" ht="15.6" x14ac:dyDescent="0.3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</row>
    <row r="188" spans="1:14" ht="15.6" x14ac:dyDescent="0.3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</row>
    <row r="189" spans="1:14" ht="15.6" x14ac:dyDescent="0.3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</row>
    <row r="190" spans="1:14" ht="15.6" x14ac:dyDescent="0.3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</row>
    <row r="191" spans="1:14" ht="15.6" x14ac:dyDescent="0.3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</row>
    <row r="192" spans="1:14" ht="15.6" x14ac:dyDescent="0.3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</row>
    <row r="193" spans="1:14" ht="15.6" x14ac:dyDescent="0.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</row>
    <row r="194" spans="1:14" ht="15.6" x14ac:dyDescent="0.3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</row>
    <row r="195" spans="1:14" ht="15.6" x14ac:dyDescent="0.3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</row>
    <row r="196" spans="1:14" ht="15.6" x14ac:dyDescent="0.3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</row>
    <row r="197" spans="1:14" ht="15.6" x14ac:dyDescent="0.3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</row>
    <row r="198" spans="1:14" ht="15.6" x14ac:dyDescent="0.3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</row>
    <row r="199" spans="1:14" ht="15.6" x14ac:dyDescent="0.3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</row>
    <row r="200" spans="1:14" ht="15.6" x14ac:dyDescent="0.3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</row>
    <row r="201" spans="1:14" ht="15.6" x14ac:dyDescent="0.3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</row>
    <row r="202" spans="1:14" ht="15.6" x14ac:dyDescent="0.3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</row>
    <row r="203" spans="1:14" ht="15.6" x14ac:dyDescent="0.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</row>
    <row r="204" spans="1:14" ht="15.6" x14ac:dyDescent="0.3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</row>
    <row r="205" spans="1:14" ht="15.6" x14ac:dyDescent="0.3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</row>
    <row r="206" spans="1:14" ht="15.6" x14ac:dyDescent="0.3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</row>
    <row r="207" spans="1:14" ht="15.6" x14ac:dyDescent="0.3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</row>
    <row r="208" spans="1:14" ht="15.6" x14ac:dyDescent="0.3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</row>
    <row r="209" spans="1:14" ht="15.6" x14ac:dyDescent="0.3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</row>
    <row r="210" spans="1:14" ht="15.6" x14ac:dyDescent="0.3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</row>
    <row r="211" spans="1:14" ht="15.6" x14ac:dyDescent="0.3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</row>
    <row r="212" spans="1:14" ht="15.6" x14ac:dyDescent="0.3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</row>
    <row r="213" spans="1:14" ht="15.6" x14ac:dyDescent="0.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</row>
    <row r="214" spans="1:14" ht="15.6" x14ac:dyDescent="0.3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</row>
    <row r="215" spans="1:14" ht="15.6" x14ac:dyDescent="0.3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</row>
    <row r="216" spans="1:14" ht="15.6" x14ac:dyDescent="0.3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</row>
    <row r="217" spans="1:14" ht="15.6" x14ac:dyDescent="0.3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</row>
    <row r="218" spans="1:14" ht="15.6" x14ac:dyDescent="0.3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</row>
    <row r="219" spans="1:14" ht="15.6" x14ac:dyDescent="0.3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</row>
    <row r="220" spans="1:14" ht="15.6" x14ac:dyDescent="0.3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</row>
    <row r="221" spans="1:14" ht="15.6" x14ac:dyDescent="0.3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</row>
    <row r="222" spans="1:14" ht="15.6" x14ac:dyDescent="0.3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</row>
    <row r="223" spans="1:14" ht="15.6" x14ac:dyDescent="0.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</row>
    <row r="224" spans="1:14" ht="15.6" x14ac:dyDescent="0.3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</row>
    <row r="225" spans="1:14" ht="15.6" x14ac:dyDescent="0.3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</row>
    <row r="226" spans="1:14" ht="15.6" x14ac:dyDescent="0.3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</row>
    <row r="227" spans="1:14" ht="15.6" x14ac:dyDescent="0.3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</row>
    <row r="228" spans="1:14" ht="15.6" x14ac:dyDescent="0.3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</row>
    <row r="229" spans="1:14" ht="15.6" x14ac:dyDescent="0.3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</row>
    <row r="230" spans="1:14" ht="15.6" x14ac:dyDescent="0.3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</row>
    <row r="231" spans="1:14" ht="15.6" x14ac:dyDescent="0.3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</row>
    <row r="232" spans="1:14" ht="15.6" x14ac:dyDescent="0.3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</row>
    <row r="233" spans="1:14" ht="15.6" x14ac:dyDescent="0.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</row>
    <row r="234" spans="1:14" ht="15.6" x14ac:dyDescent="0.3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</row>
    <row r="235" spans="1:14" ht="15.6" x14ac:dyDescent="0.3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</row>
    <row r="236" spans="1:14" ht="15.6" x14ac:dyDescent="0.3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</row>
    <row r="237" spans="1:14" ht="15.6" x14ac:dyDescent="0.3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</row>
    <row r="238" spans="1:14" ht="15.6" x14ac:dyDescent="0.3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</row>
    <row r="239" spans="1:14" ht="15.6" x14ac:dyDescent="0.3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</row>
    <row r="240" spans="1:14" ht="15.6" x14ac:dyDescent="0.3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</row>
    <row r="241" spans="1:14" ht="15.6" x14ac:dyDescent="0.3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</row>
    <row r="242" spans="1:14" ht="15.6" x14ac:dyDescent="0.3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</row>
    <row r="243" spans="1:14" ht="15.6" x14ac:dyDescent="0.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</row>
    <row r="244" spans="1:14" ht="15.6" x14ac:dyDescent="0.3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</row>
    <row r="245" spans="1:14" ht="15.6" x14ac:dyDescent="0.3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</row>
    <row r="246" spans="1:14" ht="15.6" x14ac:dyDescent="0.3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</row>
    <row r="247" spans="1:14" ht="15.6" x14ac:dyDescent="0.3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</row>
    <row r="248" spans="1:14" ht="15.6" x14ac:dyDescent="0.3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</row>
    <row r="249" spans="1:14" ht="15.6" x14ac:dyDescent="0.3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</row>
    <row r="250" spans="1:14" ht="15.6" x14ac:dyDescent="0.3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</row>
    <row r="251" spans="1:14" ht="15.6" x14ac:dyDescent="0.3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</row>
    <row r="252" spans="1:14" ht="15.6" x14ac:dyDescent="0.3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</row>
    <row r="253" spans="1:14" ht="15.6" x14ac:dyDescent="0.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</row>
    <row r="254" spans="1:14" ht="15.6" x14ac:dyDescent="0.3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</row>
    <row r="255" spans="1:14" ht="15.6" x14ac:dyDescent="0.3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</row>
    <row r="256" spans="1:14" ht="15.6" x14ac:dyDescent="0.3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</row>
    <row r="257" spans="1:14" ht="15.6" x14ac:dyDescent="0.3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</row>
    <row r="258" spans="1:14" ht="15.6" x14ac:dyDescent="0.3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</row>
    <row r="259" spans="1:14" ht="15.6" x14ac:dyDescent="0.3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</row>
    <row r="260" spans="1:14" ht="15.6" x14ac:dyDescent="0.3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</row>
    <row r="261" spans="1:14" ht="15.6" x14ac:dyDescent="0.3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</row>
    <row r="262" spans="1:14" ht="15.6" x14ac:dyDescent="0.3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</row>
    <row r="263" spans="1:14" ht="15.6" x14ac:dyDescent="0.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</row>
    <row r="264" spans="1:14" ht="15.6" x14ac:dyDescent="0.3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</row>
    <row r="265" spans="1:14" ht="15.6" x14ac:dyDescent="0.3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</row>
    <row r="266" spans="1:14" ht="15.6" x14ac:dyDescent="0.3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</row>
    <row r="267" spans="1:14" ht="15.6" x14ac:dyDescent="0.3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</row>
  </sheetData>
  <mergeCells count="16">
    <mergeCell ref="A16:C16"/>
    <mergeCell ref="A17:C17"/>
    <mergeCell ref="A18:C18"/>
    <mergeCell ref="A20:M20"/>
    <mergeCell ref="C10:D10"/>
    <mergeCell ref="C11:D11"/>
    <mergeCell ref="A10:B10"/>
    <mergeCell ref="A14:D14"/>
    <mergeCell ref="G10:H10"/>
    <mergeCell ref="G11:H11"/>
    <mergeCell ref="A3:B3"/>
    <mergeCell ref="A1:F1"/>
    <mergeCell ref="A4:B4"/>
    <mergeCell ref="A5:B5"/>
    <mergeCell ref="A6:B6"/>
    <mergeCell ref="A7:C7"/>
  </mergeCells>
  <phoneticPr fontId="2" type="noConversion"/>
  <pageMargins left="0" right="0" top="0" bottom="0" header="0" footer="0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Inciso 1</vt:lpstr>
      <vt:lpstr>Inciso 3</vt:lpstr>
      <vt:lpstr>Inciso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MARIO DANIEL SAJVIN GOMEZ</cp:lastModifiedBy>
  <cp:lastPrinted>2025-03-05T17:51:20Z</cp:lastPrinted>
  <dcterms:created xsi:type="dcterms:W3CDTF">2021-02-03T00:41:02Z</dcterms:created>
  <dcterms:modified xsi:type="dcterms:W3CDTF">2025-03-05T17:52:06Z</dcterms:modified>
</cp:coreProperties>
</file>