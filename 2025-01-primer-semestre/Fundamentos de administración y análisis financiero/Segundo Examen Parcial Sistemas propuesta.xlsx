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vn\Desktop\"/>
    </mc:Choice>
  </mc:AlternateContent>
  <xr:revisionPtr revIDLastSave="0" documentId="8_{49C57BF3-20D6-4E02-BA63-B1C9452756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strucciones" sheetId="6" r:id="rId1"/>
    <sheet name="Inciso 1" sheetId="2" r:id="rId2"/>
    <sheet name="Inciso 2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5" l="1"/>
  <c r="B76" i="5" s="1"/>
  <c r="C76" i="5"/>
  <c r="D76" i="5"/>
  <c r="E76" i="5"/>
  <c r="F76" i="5"/>
  <c r="G76" i="5"/>
  <c r="C74" i="5"/>
  <c r="D74" i="5"/>
  <c r="E74" i="5"/>
  <c r="F74" i="5"/>
  <c r="G74" i="5"/>
  <c r="C73" i="5"/>
  <c r="D73" i="5"/>
  <c r="E73" i="5"/>
  <c r="F73" i="5"/>
  <c r="G73" i="5"/>
  <c r="B73" i="5"/>
  <c r="C72" i="5"/>
  <c r="D72" i="5"/>
  <c r="E72" i="5"/>
  <c r="F72" i="5"/>
  <c r="G72" i="5"/>
  <c r="B72" i="5"/>
  <c r="B71" i="5"/>
  <c r="C71" i="5"/>
  <c r="D71" i="5"/>
  <c r="E71" i="5"/>
  <c r="F71" i="5"/>
  <c r="G71" i="5"/>
  <c r="C66" i="5"/>
  <c r="D66" i="5"/>
  <c r="E66" i="5"/>
  <c r="F66" i="5"/>
  <c r="G66" i="5"/>
  <c r="B66" i="5"/>
  <c r="C65" i="5"/>
  <c r="D65" i="5"/>
  <c r="E65" i="5"/>
  <c r="F65" i="5"/>
  <c r="G65" i="5"/>
  <c r="B65" i="5"/>
  <c r="C64" i="5"/>
  <c r="D64" i="5"/>
  <c r="E64" i="5"/>
  <c r="F64" i="5"/>
  <c r="G64" i="5"/>
  <c r="B64" i="5"/>
  <c r="C62" i="5"/>
  <c r="D62" i="5"/>
  <c r="E62" i="5"/>
  <c r="F62" i="5"/>
  <c r="G62" i="5"/>
  <c r="B62" i="5"/>
  <c r="D61" i="5"/>
  <c r="E61" i="5"/>
  <c r="F61" i="5"/>
  <c r="G61" i="5"/>
  <c r="C61" i="5"/>
  <c r="C60" i="5"/>
  <c r="D60" i="5"/>
  <c r="E60" i="5"/>
  <c r="F60" i="5"/>
  <c r="G60" i="5"/>
  <c r="B60" i="5"/>
  <c r="C53" i="5"/>
  <c r="D53" i="5"/>
  <c r="E53" i="5"/>
  <c r="F53" i="5"/>
  <c r="G53" i="5"/>
  <c r="B53" i="5"/>
  <c r="C50" i="5"/>
  <c r="D50" i="5"/>
  <c r="E50" i="5"/>
  <c r="F50" i="5"/>
  <c r="G50" i="5"/>
  <c r="B50" i="5"/>
  <c r="C49" i="5"/>
  <c r="D49" i="5"/>
  <c r="E49" i="5"/>
  <c r="E51" i="5" s="1"/>
  <c r="F49" i="5"/>
  <c r="F51" i="5" s="1"/>
  <c r="G49" i="5"/>
  <c r="B49" i="5"/>
  <c r="C44" i="5"/>
  <c r="D44" i="5"/>
  <c r="E44" i="5"/>
  <c r="F44" i="5"/>
  <c r="G44" i="5"/>
  <c r="B44" i="5"/>
  <c r="D43" i="5"/>
  <c r="E43" i="5"/>
  <c r="F43" i="5"/>
  <c r="G43" i="5"/>
  <c r="C43" i="5"/>
  <c r="C42" i="5"/>
  <c r="D42" i="5"/>
  <c r="E42" i="5"/>
  <c r="F42" i="5"/>
  <c r="G42" i="5"/>
  <c r="B42" i="5"/>
  <c r="B68" i="2"/>
  <c r="B69" i="2" s="1"/>
  <c r="B76" i="2" s="1"/>
  <c r="C67" i="2"/>
  <c r="C68" i="2" s="1"/>
  <c r="D67" i="2"/>
  <c r="D68" i="2" s="1"/>
  <c r="E67" i="2"/>
  <c r="E68" i="2" s="1"/>
  <c r="F67" i="2"/>
  <c r="F68" i="2" s="1"/>
  <c r="G67" i="2"/>
  <c r="G68" i="2" s="1"/>
  <c r="G69" i="2" s="1"/>
  <c r="G76" i="2" s="1"/>
  <c r="B67" i="2"/>
  <c r="B65" i="2"/>
  <c r="D64" i="2"/>
  <c r="E64" i="2"/>
  <c r="E65" i="2" s="1"/>
  <c r="F64" i="2"/>
  <c r="F65" i="2" s="1"/>
  <c r="G64" i="2"/>
  <c r="G65" i="2" s="1"/>
  <c r="C64" i="2"/>
  <c r="C63" i="2"/>
  <c r="C65" i="2" s="1"/>
  <c r="D63" i="2"/>
  <c r="D65" i="2" s="1"/>
  <c r="E63" i="2"/>
  <c r="F63" i="2"/>
  <c r="G63" i="2"/>
  <c r="B63" i="2"/>
  <c r="C56" i="2"/>
  <c r="C57" i="2" s="1"/>
  <c r="D56" i="2"/>
  <c r="D57" i="2" s="1"/>
  <c r="E56" i="2"/>
  <c r="E57" i="2" s="1"/>
  <c r="F56" i="2"/>
  <c r="G56" i="2"/>
  <c r="B56" i="2"/>
  <c r="B57" i="2" s="1"/>
  <c r="C52" i="2"/>
  <c r="D52" i="2"/>
  <c r="E52" i="2"/>
  <c r="F52" i="2"/>
  <c r="G52" i="2"/>
  <c r="B52" i="2"/>
  <c r="D46" i="2"/>
  <c r="E46" i="2"/>
  <c r="F46" i="2"/>
  <c r="G46" i="2"/>
  <c r="C46" i="2"/>
  <c r="B45" i="2"/>
  <c r="C45" i="2"/>
  <c r="D45" i="2"/>
  <c r="E45" i="2"/>
  <c r="E47" i="2" s="1"/>
  <c r="E53" i="2" s="1"/>
  <c r="F45" i="2"/>
  <c r="F47" i="2" s="1"/>
  <c r="F53" i="2" s="1"/>
  <c r="G45" i="2"/>
  <c r="G47" i="2" s="1"/>
  <c r="G53" i="2" s="1"/>
  <c r="B47" i="2"/>
  <c r="B53" i="2" s="1"/>
  <c r="G54" i="5"/>
  <c r="F54" i="5"/>
  <c r="E54" i="5"/>
  <c r="D54" i="5"/>
  <c r="C54" i="5"/>
  <c r="B54" i="5"/>
  <c r="G51" i="5"/>
  <c r="G55" i="5" s="1"/>
  <c r="D51" i="5"/>
  <c r="C51" i="5"/>
  <c r="B51" i="5"/>
  <c r="B55" i="5" s="1"/>
  <c r="G57" i="2"/>
  <c r="F57" i="2"/>
  <c r="C47" i="2"/>
  <c r="C53" i="2" s="1"/>
  <c r="D47" i="2"/>
  <c r="D53" i="2" s="1"/>
  <c r="E55" i="5" l="1"/>
  <c r="B54" i="2"/>
  <c r="B58" i="2" s="1"/>
  <c r="B74" i="2" s="1"/>
  <c r="B75" i="2" s="1"/>
  <c r="B77" i="2" s="1"/>
  <c r="B79" i="2" s="1"/>
  <c r="G54" i="2"/>
  <c r="F69" i="2"/>
  <c r="F76" i="2" s="1"/>
  <c r="E69" i="2"/>
  <c r="E76" i="2" s="1"/>
  <c r="D69" i="2"/>
  <c r="D76" i="2" s="1"/>
  <c r="C54" i="2"/>
  <c r="C69" i="2"/>
  <c r="C76" i="2" s="1"/>
  <c r="D55" i="5"/>
  <c r="F55" i="5"/>
  <c r="C55" i="5"/>
  <c r="G58" i="2"/>
  <c r="G74" i="2" s="1"/>
  <c r="G75" i="2" s="1"/>
  <c r="G77" i="2" s="1"/>
  <c r="G79" i="2" s="1"/>
  <c r="C58" i="2"/>
  <c r="C74" i="2" s="1"/>
  <c r="C75" i="2" s="1"/>
  <c r="C77" i="2" s="1"/>
  <c r="C79" i="2" s="1"/>
  <c r="F54" i="2"/>
  <c r="F58" i="2" s="1"/>
  <c r="F74" i="2" s="1"/>
  <c r="F75" i="2" s="1"/>
  <c r="D54" i="2"/>
  <c r="D58" i="2" s="1"/>
  <c r="D74" i="2" s="1"/>
  <c r="D75" i="2" s="1"/>
  <c r="E54" i="2"/>
  <c r="E58" i="2" s="1"/>
  <c r="E74" i="2" s="1"/>
  <c r="E75" i="2" s="1"/>
  <c r="E77" i="2" l="1"/>
  <c r="E79" i="2" s="1"/>
  <c r="D77" i="2"/>
  <c r="D79" i="2" s="1"/>
  <c r="F77" i="2"/>
  <c r="F79" i="2" s="1"/>
</calcChain>
</file>

<file path=xl/sharedStrings.xml><?xml version="1.0" encoding="utf-8"?>
<sst xmlns="http://schemas.openxmlformats.org/spreadsheetml/2006/main" count="241" uniqueCount="88">
  <si>
    <t>FLUJO DE EFECTIVO</t>
  </si>
  <si>
    <t>Método de entradas y salidas de efectivo</t>
  </si>
  <si>
    <t>1. Las ventas presupuestadas  son:</t>
  </si>
  <si>
    <t>Julio</t>
  </si>
  <si>
    <t>Agosto</t>
  </si>
  <si>
    <t>Septiembre</t>
  </si>
  <si>
    <t>Octubre</t>
  </si>
  <si>
    <t>Noviembre</t>
  </si>
  <si>
    <t>Diciembre</t>
  </si>
  <si>
    <t>Ventas</t>
  </si>
  <si>
    <t xml:space="preserve">75% de las ventas son a crédito, y 25% restante, al contado. De las ventas a crédito, 65% se cobra en el mes que </t>
  </si>
  <si>
    <t>2. Las compras presupuestadas son:</t>
  </si>
  <si>
    <t>Compras</t>
  </si>
  <si>
    <t>de la compra.</t>
  </si>
  <si>
    <t>3. Otros ingresos y gastos de efectivo son:</t>
  </si>
  <si>
    <t>Otros ingresos</t>
  </si>
  <si>
    <t>Otros gastos</t>
  </si>
  <si>
    <t>4. La nómina que se liquidará será:</t>
  </si>
  <si>
    <t>Nómina</t>
  </si>
  <si>
    <t>5. El saldo mínimo en efectivo por mantener será de Q 20,000.00; al inicio había Q 20,000.00 en efectivo</t>
  </si>
  <si>
    <t>Con estos datos, elabore los siguientes documentos:</t>
  </si>
  <si>
    <t>a) Cédula de cobranzas de las ventas al crédito</t>
  </si>
  <si>
    <t>b) Cédula de entradas de efectivo</t>
  </si>
  <si>
    <t>c) Presupuesto de efectivo</t>
  </si>
  <si>
    <t>d) Fije políticas de financiamiento e inversiones excedentes</t>
  </si>
  <si>
    <t>SOLUCIÓN:</t>
  </si>
  <si>
    <t>a) Cédula de cobranza:</t>
  </si>
  <si>
    <t>b) Cédula de entradas de efectivo:</t>
  </si>
  <si>
    <t>Entradas normales:</t>
  </si>
  <si>
    <t>Ventas de contado</t>
  </si>
  <si>
    <t>Cobro a clientes</t>
  </si>
  <si>
    <t>Total</t>
  </si>
  <si>
    <t>Entradas excepcionales:</t>
  </si>
  <si>
    <t>Total de entradas</t>
  </si>
  <si>
    <t>c) Cédula de salidas de efectivo:</t>
  </si>
  <si>
    <t>Salidas normales:</t>
  </si>
  <si>
    <t>Pago de nómina</t>
  </si>
  <si>
    <t>Pago de proveedores</t>
  </si>
  <si>
    <t>Salidas excepcionales:</t>
  </si>
  <si>
    <t>Total de salidas</t>
  </si>
  <si>
    <t>d) Presupuesto de efectivo:</t>
  </si>
  <si>
    <t>Saldo inicial</t>
  </si>
  <si>
    <t>Entradas</t>
  </si>
  <si>
    <t>Disponible</t>
  </si>
  <si>
    <t>Salidas</t>
  </si>
  <si>
    <t>Saldo antes del mínimo deseado</t>
  </si>
  <si>
    <t>Mínimo deseado</t>
  </si>
  <si>
    <t>Sobrante (o faltante)</t>
  </si>
  <si>
    <t xml:space="preserve">60% de las ventas son a crédito. De las ventas a crédito, 40% se cobra en el mes que corresponda y el saldo durante el siguiente.  </t>
  </si>
  <si>
    <t>5. El saldo mínimo en efectivo por mantener será de Q 30,000.00; al inicio había Q 30,000.00 en efectivo</t>
  </si>
  <si>
    <t xml:space="preserve">        % de las ventas al crédito</t>
  </si>
  <si>
    <t xml:space="preserve">        % de las ventas a crédito del período anterior</t>
  </si>
  <si>
    <t xml:space="preserve">e) Planeación financiera: </t>
  </si>
  <si>
    <t xml:space="preserve">     % de las ventas al crédito</t>
  </si>
  <si>
    <t xml:space="preserve">     % de las ventas a crédito del período anterior</t>
  </si>
  <si>
    <t>corresponda y el saldo durante el siguiente. Las cuentas por cobrar correspondientes a junio de 2025 ascienden a</t>
  </si>
  <si>
    <t>Las compras de junio 2025 ascendieron a Q 160,000.00. Se paga a los proveedores durante el siguiente mes</t>
  </si>
  <si>
    <t>Las cuentas por cobrar correspondientes a junio de 2025 ascienden a Q 80,000.00</t>
  </si>
  <si>
    <t>Las compras de junio 2025 ascendieron a Q 600,000.00. Se paga a los proveedores durante el siguiente mes de la compra</t>
  </si>
  <si>
    <t xml:space="preserve">INSTRUCCIONES: A CONTINUACIÓN DEBE ELABORAR LOS PRESUPUESTOS DE EFECTIVO DE LOS CASOS 1 Y 2. </t>
  </si>
  <si>
    <t>LA TERCERA SERIE CONSISTE EN REALIZAR UNA COMPARACIÓN DE LOS RESULTADOS OBTENIDOS EN SERIE 1 Y 2,</t>
  </si>
  <si>
    <t>REALIZANDO LA RESPECTIVA PLANIFICACIÓN FINANCIERA PARA CADA EMPRESA Y CONCLUYENDO EL MEJOR</t>
  </si>
  <si>
    <t>EL INCISO 1 (4 CÉDULAS DE PRESUPUESTO) CONFORMA  LA PRIMERA SERIE - 3 PUNTOS</t>
  </si>
  <si>
    <t>EL INCISO 2 (4 CÉDULAS DE PRESUPUESTO) CONFORMA  LA SEGUNDA SERIE - 3 PUNTOS</t>
  </si>
  <si>
    <t>CURSO DE ACCIÓN CONFORME AL CONTEXTO.  - 4 PUNTOS</t>
  </si>
  <si>
    <t>LA RESOLUCIÓN FINAL DEBE SER CARGADA A PORTAL EN UN SOLO ARCHIVO EN FORMATO EXCEL, ESTO</t>
  </si>
  <si>
    <t>DENTRO DEL TIEMPO ESTIPULADO PARA ELLO.</t>
  </si>
  <si>
    <t>5 PUNTOS</t>
  </si>
  <si>
    <t xml:space="preserve">La empresa como tal se encuentra en un buen escenario, esto porque en ningún mes se espera tener un faltante; ahora es impotante tomar en cuenta que </t>
  </si>
  <si>
    <t>es positivo el hecho de que tengamos un sobrante, porque quiere decir que la capacidad de liquidez de la empresa es muy buena. Pero no se tiene que quedar</t>
  </si>
  <si>
    <t>ahí nada más, ahora hay que saber que hacer con este sobrante. Lo principal considero es verficar si la empresa tiene deudas, y con el sobrante ir solventando</t>
  </si>
  <si>
    <t>estas deduas mes a mes. Se puede ver también por ejemplo, si existen defiencias en infraestructura o quizá mantenimiento a maquinaria para utilizar este dinero.</t>
  </si>
  <si>
    <t>Lo importante es poner a trabajar de alguna manera este dinero y no solo tenerlo ahí guardado, ya que hay que recordar que con el tiempo el dinero puede perder</t>
  </si>
  <si>
    <t xml:space="preserve">su valor adquisitivo. El objetivo es que la empresa siga mejorando, esto lo va a lograr poniendo a trabajar su sobrante y que se siga generando y creciendo. </t>
  </si>
  <si>
    <t>O incluso se puede utilizar el dinero en campañas de marketing para dar a concer más la empresa y que así atraer a más clientes.</t>
  </si>
  <si>
    <t>El caso de esta empersa es realmente malo, ya que desde ver el disponible nos damos cuenta que no alcanza para subrir toda la salida. Recordar</t>
  </si>
  <si>
    <t>que esto es un presupuesto y que todavía no ha pasado, entonces con estos resultados lo primero que se tiene que hacer es descartar por completo</t>
  </si>
  <si>
    <t>este presupuesto y volver a hacer uno nuevo, pero ahora tomando en cuenta más factores, como por ejemplo, si en disponible tenemos 5 está claro que no podemos gastar 7.</t>
  </si>
  <si>
    <t>En este caso pude notar que por ejemplo (voy a tomar de referencia el mes de Julio), en total de entradas se tiene Q410,000.00 y solo en pago de proveedores son Q600,000</t>
  </si>
  <si>
    <t>esto nos indica que entonces solo para obtener nuestra materia prima ya estamos obteniendo pérdidas. Entonces una opción a tomar en cuenta para el nuevo presupuesto</t>
  </si>
  <si>
    <t xml:space="preserve">es hacer nuevas negociaciones con los proveedores o incluso buscar otros, que nos den mejores precios. </t>
  </si>
  <si>
    <t>Comparación de caso 1 y 2</t>
  </si>
  <si>
    <t>En el caso 1 se puede observar un caso favorable, en donde todos los meses esperan tener un sobrante a contrario del caso 2, donde todos los meses se espera tener un faltante.</t>
  </si>
  <si>
    <t>La diferencia es clara, pero en ambos casos se tiene que realizar una correcta administración, ya que el caso 1 si no se le da un correcto uso al sobrante entonces solo se estaría</t>
  </si>
  <si>
    <t>desperdiciando este dinero, ahora en el caso 2, lo mejor es buscar más alternativas como nuevo proveedores y ver realmente que gastos son "necesarios". P</t>
  </si>
  <si>
    <t xml:space="preserve">Pero lo más importante del presupuesto, es tener claro que es una herramienta que nos puede ayudar a prevenir ciertas situaciones en el futuro y que tampoco puede ser una </t>
  </si>
  <si>
    <t>guía estrictamente a seguir, hay que tener claro que pueden suceder externalidades que nos puede cambiar todo, entonces lo importante es que la administración esté preparada</t>
  </si>
  <si>
    <t xml:space="preserve">para estos eventos y afrontarlos de la mejor manera.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</si>
</sst>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Q&quot;#,##0.00;[Red]\-&quot;Q&quot;#,##0.00"/>
    <numFmt numFmtId="164" formatCode="_([$Q-100A]* #,##0.00_);_([$Q-100A]* \(#,##0.00\);_([$Q-100A]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3" fillId="0" borderId="0" xfId="1" applyFont="1"/>
    <xf numFmtId="0" fontId="4" fillId="0" borderId="0" xfId="1"/>
    <xf numFmtId="0" fontId="1" fillId="0" borderId="0" xfId="1" applyFont="1"/>
    <xf numFmtId="0" fontId="1" fillId="0" borderId="0" xfId="1" applyFont="1" applyAlignment="1">
      <alignment horizontal="center" wrapText="1"/>
    </xf>
    <xf numFmtId="0" fontId="4" fillId="0" borderId="1" xfId="1" applyBorder="1"/>
    <xf numFmtId="164" fontId="5" fillId="0" borderId="1" xfId="1" applyNumberFormat="1" applyFont="1" applyBorder="1"/>
    <xf numFmtId="164" fontId="6" fillId="0" borderId="1" xfId="1" applyNumberFormat="1" applyFont="1" applyBorder="1"/>
    <xf numFmtId="8" fontId="4" fillId="0" borderId="0" xfId="1" applyNumberFormat="1" applyAlignment="1">
      <alignment horizontal="left"/>
    </xf>
    <xf numFmtId="0" fontId="1" fillId="2" borderId="0" xfId="1" applyFont="1" applyFill="1"/>
    <xf numFmtId="0" fontId="4" fillId="2" borderId="0" xfId="1" applyFill="1"/>
    <xf numFmtId="0" fontId="3" fillId="0" borderId="1" xfId="1" applyFont="1" applyBorder="1" applyAlignment="1">
      <alignment wrapText="1"/>
    </xf>
    <xf numFmtId="164" fontId="5" fillId="0" borderId="2" xfId="1" applyNumberFormat="1" applyFont="1" applyBorder="1"/>
    <xf numFmtId="164" fontId="5" fillId="0" borderId="3" xfId="1" applyNumberFormat="1" applyFont="1" applyBorder="1"/>
    <xf numFmtId="164" fontId="4" fillId="0" borderId="0" xfId="1" applyNumberFormat="1"/>
    <xf numFmtId="0" fontId="7" fillId="0" borderId="1" xfId="1" applyFont="1" applyBorder="1"/>
    <xf numFmtId="164" fontId="5" fillId="0" borderId="4" xfId="1" applyNumberFormat="1" applyFont="1" applyBorder="1"/>
    <xf numFmtId="0" fontId="4" fillId="0" borderId="1" xfId="1" applyBorder="1" applyAlignment="1">
      <alignment wrapText="1"/>
    </xf>
    <xf numFmtId="164" fontId="6" fillId="0" borderId="3" xfId="1" applyNumberFormat="1" applyFont="1" applyBorder="1"/>
    <xf numFmtId="164" fontId="6" fillId="0" borderId="2" xfId="1" applyNumberFormat="1" applyFont="1" applyBorder="1"/>
    <xf numFmtId="0" fontId="4" fillId="0" borderId="5" xfId="1" applyBorder="1"/>
    <xf numFmtId="164" fontId="6" fillId="0" borderId="6" xfId="1" applyNumberFormat="1" applyFont="1" applyBorder="1"/>
    <xf numFmtId="0" fontId="2" fillId="0" borderId="0" xfId="1" applyFont="1"/>
    <xf numFmtId="0" fontId="1" fillId="0" borderId="0" xfId="0" applyFont="1"/>
    <xf numFmtId="0" fontId="1" fillId="0" borderId="0" xfId="1" applyFont="1" applyAlignment="1">
      <alignment horizontal="center"/>
    </xf>
    <xf numFmtId="0" fontId="0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23A5-A432-42B2-B2FF-0F093D883503}">
  <dimension ref="A1:A17"/>
  <sheetViews>
    <sheetView tabSelected="1" workbookViewId="0">
      <selection activeCell="A18" sqref="A18"/>
    </sheetView>
  </sheetViews>
  <sheetFormatPr baseColWidth="10" defaultRowHeight="14.4" x14ac:dyDescent="0.3"/>
  <sheetData>
    <row r="1" spans="1:1" x14ac:dyDescent="0.3">
      <c r="A1" s="23" t="s">
        <v>59</v>
      </c>
    </row>
    <row r="2" spans="1:1" x14ac:dyDescent="0.3">
      <c r="A2" s="23" t="s">
        <v>62</v>
      </c>
    </row>
    <row r="3" spans="1:1" x14ac:dyDescent="0.3">
      <c r="A3" s="23" t="s">
        <v>63</v>
      </c>
    </row>
    <row r="4" spans="1:1" x14ac:dyDescent="0.3">
      <c r="A4" s="23" t="s">
        <v>60</v>
      </c>
    </row>
    <row r="5" spans="1:1" x14ac:dyDescent="0.3">
      <c r="A5" s="23" t="s">
        <v>61</v>
      </c>
    </row>
    <row r="6" spans="1:1" x14ac:dyDescent="0.3">
      <c r="A6" s="23" t="s">
        <v>64</v>
      </c>
    </row>
    <row r="8" spans="1:1" x14ac:dyDescent="0.3">
      <c r="A8" s="23" t="s">
        <v>65</v>
      </c>
    </row>
    <row r="9" spans="1:1" x14ac:dyDescent="0.3">
      <c r="A9" s="23" t="s">
        <v>66</v>
      </c>
    </row>
    <row r="11" spans="1:1" x14ac:dyDescent="0.3">
      <c r="A11" s="23" t="s">
        <v>81</v>
      </c>
    </row>
    <row r="12" spans="1:1" x14ac:dyDescent="0.3">
      <c r="A12" s="25" t="s">
        <v>82</v>
      </c>
    </row>
    <row r="13" spans="1:1" x14ac:dyDescent="0.3">
      <c r="A13" s="25" t="s">
        <v>83</v>
      </c>
    </row>
    <row r="14" spans="1:1" x14ac:dyDescent="0.3">
      <c r="A14" s="25" t="s">
        <v>84</v>
      </c>
    </row>
    <row r="15" spans="1:1" x14ac:dyDescent="0.3">
      <c r="A15" s="25" t="s">
        <v>85</v>
      </c>
    </row>
    <row r="16" spans="1:1" x14ac:dyDescent="0.3">
      <c r="A16" s="25" t="s">
        <v>86</v>
      </c>
    </row>
    <row r="17" spans="1:1" x14ac:dyDescent="0.3">
      <c r="A17" s="25" t="s">
        <v>87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8"/>
  <sheetViews>
    <sheetView workbookViewId="0">
      <selection activeCell="I81" sqref="I81"/>
    </sheetView>
  </sheetViews>
  <sheetFormatPr baseColWidth="10" defaultRowHeight="13.2" x14ac:dyDescent="0.25"/>
  <cols>
    <col min="1" max="1" width="22.88671875" style="2" customWidth="1"/>
    <col min="2" max="7" width="15.5546875" style="2" customWidth="1"/>
    <col min="8" max="256" width="11.44140625" style="2"/>
    <col min="257" max="257" width="22.88671875" style="2" customWidth="1"/>
    <col min="258" max="263" width="15.5546875" style="2" customWidth="1"/>
    <col min="264" max="512" width="11.44140625" style="2"/>
    <col min="513" max="513" width="22.88671875" style="2" customWidth="1"/>
    <col min="514" max="519" width="15.5546875" style="2" customWidth="1"/>
    <col min="520" max="768" width="11.44140625" style="2"/>
    <col min="769" max="769" width="22.88671875" style="2" customWidth="1"/>
    <col min="770" max="775" width="15.5546875" style="2" customWidth="1"/>
    <col min="776" max="1024" width="11.44140625" style="2"/>
    <col min="1025" max="1025" width="22.88671875" style="2" customWidth="1"/>
    <col min="1026" max="1031" width="15.5546875" style="2" customWidth="1"/>
    <col min="1032" max="1280" width="11.44140625" style="2"/>
    <col min="1281" max="1281" width="22.88671875" style="2" customWidth="1"/>
    <col min="1282" max="1287" width="15.5546875" style="2" customWidth="1"/>
    <col min="1288" max="1536" width="11.44140625" style="2"/>
    <col min="1537" max="1537" width="22.88671875" style="2" customWidth="1"/>
    <col min="1538" max="1543" width="15.5546875" style="2" customWidth="1"/>
    <col min="1544" max="1792" width="11.44140625" style="2"/>
    <col min="1793" max="1793" width="22.88671875" style="2" customWidth="1"/>
    <col min="1794" max="1799" width="15.5546875" style="2" customWidth="1"/>
    <col min="1800" max="2048" width="11.44140625" style="2"/>
    <col min="2049" max="2049" width="22.88671875" style="2" customWidth="1"/>
    <col min="2050" max="2055" width="15.5546875" style="2" customWidth="1"/>
    <col min="2056" max="2304" width="11.44140625" style="2"/>
    <col min="2305" max="2305" width="22.88671875" style="2" customWidth="1"/>
    <col min="2306" max="2311" width="15.5546875" style="2" customWidth="1"/>
    <col min="2312" max="2560" width="11.44140625" style="2"/>
    <col min="2561" max="2561" width="22.88671875" style="2" customWidth="1"/>
    <col min="2562" max="2567" width="15.5546875" style="2" customWidth="1"/>
    <col min="2568" max="2816" width="11.44140625" style="2"/>
    <col min="2817" max="2817" width="22.88671875" style="2" customWidth="1"/>
    <col min="2818" max="2823" width="15.5546875" style="2" customWidth="1"/>
    <col min="2824" max="3072" width="11.44140625" style="2"/>
    <col min="3073" max="3073" width="22.88671875" style="2" customWidth="1"/>
    <col min="3074" max="3079" width="15.5546875" style="2" customWidth="1"/>
    <col min="3080" max="3328" width="11.44140625" style="2"/>
    <col min="3329" max="3329" width="22.88671875" style="2" customWidth="1"/>
    <col min="3330" max="3335" width="15.5546875" style="2" customWidth="1"/>
    <col min="3336" max="3584" width="11.44140625" style="2"/>
    <col min="3585" max="3585" width="22.88671875" style="2" customWidth="1"/>
    <col min="3586" max="3591" width="15.5546875" style="2" customWidth="1"/>
    <col min="3592" max="3840" width="11.44140625" style="2"/>
    <col min="3841" max="3841" width="22.88671875" style="2" customWidth="1"/>
    <col min="3842" max="3847" width="15.5546875" style="2" customWidth="1"/>
    <col min="3848" max="4096" width="11.44140625" style="2"/>
    <col min="4097" max="4097" width="22.88671875" style="2" customWidth="1"/>
    <col min="4098" max="4103" width="15.5546875" style="2" customWidth="1"/>
    <col min="4104" max="4352" width="11.44140625" style="2"/>
    <col min="4353" max="4353" width="22.88671875" style="2" customWidth="1"/>
    <col min="4354" max="4359" width="15.5546875" style="2" customWidth="1"/>
    <col min="4360" max="4608" width="11.44140625" style="2"/>
    <col min="4609" max="4609" width="22.88671875" style="2" customWidth="1"/>
    <col min="4610" max="4615" width="15.5546875" style="2" customWidth="1"/>
    <col min="4616" max="4864" width="11.44140625" style="2"/>
    <col min="4865" max="4865" width="22.88671875" style="2" customWidth="1"/>
    <col min="4866" max="4871" width="15.5546875" style="2" customWidth="1"/>
    <col min="4872" max="5120" width="11.44140625" style="2"/>
    <col min="5121" max="5121" width="22.88671875" style="2" customWidth="1"/>
    <col min="5122" max="5127" width="15.5546875" style="2" customWidth="1"/>
    <col min="5128" max="5376" width="11.44140625" style="2"/>
    <col min="5377" max="5377" width="22.88671875" style="2" customWidth="1"/>
    <col min="5378" max="5383" width="15.5546875" style="2" customWidth="1"/>
    <col min="5384" max="5632" width="11.44140625" style="2"/>
    <col min="5633" max="5633" width="22.88671875" style="2" customWidth="1"/>
    <col min="5634" max="5639" width="15.5546875" style="2" customWidth="1"/>
    <col min="5640" max="5888" width="11.44140625" style="2"/>
    <col min="5889" max="5889" width="22.88671875" style="2" customWidth="1"/>
    <col min="5890" max="5895" width="15.5546875" style="2" customWidth="1"/>
    <col min="5896" max="6144" width="11.44140625" style="2"/>
    <col min="6145" max="6145" width="22.88671875" style="2" customWidth="1"/>
    <col min="6146" max="6151" width="15.5546875" style="2" customWidth="1"/>
    <col min="6152" max="6400" width="11.44140625" style="2"/>
    <col min="6401" max="6401" width="22.88671875" style="2" customWidth="1"/>
    <col min="6402" max="6407" width="15.5546875" style="2" customWidth="1"/>
    <col min="6408" max="6656" width="11.44140625" style="2"/>
    <col min="6657" max="6657" width="22.88671875" style="2" customWidth="1"/>
    <col min="6658" max="6663" width="15.5546875" style="2" customWidth="1"/>
    <col min="6664" max="6912" width="11.44140625" style="2"/>
    <col min="6913" max="6913" width="22.88671875" style="2" customWidth="1"/>
    <col min="6914" max="6919" width="15.5546875" style="2" customWidth="1"/>
    <col min="6920" max="7168" width="11.44140625" style="2"/>
    <col min="7169" max="7169" width="22.88671875" style="2" customWidth="1"/>
    <col min="7170" max="7175" width="15.5546875" style="2" customWidth="1"/>
    <col min="7176" max="7424" width="11.44140625" style="2"/>
    <col min="7425" max="7425" width="22.88671875" style="2" customWidth="1"/>
    <col min="7426" max="7431" width="15.5546875" style="2" customWidth="1"/>
    <col min="7432" max="7680" width="11.44140625" style="2"/>
    <col min="7681" max="7681" width="22.88671875" style="2" customWidth="1"/>
    <col min="7682" max="7687" width="15.5546875" style="2" customWidth="1"/>
    <col min="7688" max="7936" width="11.44140625" style="2"/>
    <col min="7937" max="7937" width="22.88671875" style="2" customWidth="1"/>
    <col min="7938" max="7943" width="15.5546875" style="2" customWidth="1"/>
    <col min="7944" max="8192" width="11.44140625" style="2"/>
    <col min="8193" max="8193" width="22.88671875" style="2" customWidth="1"/>
    <col min="8194" max="8199" width="15.5546875" style="2" customWidth="1"/>
    <col min="8200" max="8448" width="11.44140625" style="2"/>
    <col min="8449" max="8449" width="22.88671875" style="2" customWidth="1"/>
    <col min="8450" max="8455" width="15.5546875" style="2" customWidth="1"/>
    <col min="8456" max="8704" width="11.44140625" style="2"/>
    <col min="8705" max="8705" width="22.88671875" style="2" customWidth="1"/>
    <col min="8706" max="8711" width="15.5546875" style="2" customWidth="1"/>
    <col min="8712" max="8960" width="11.44140625" style="2"/>
    <col min="8961" max="8961" width="22.88671875" style="2" customWidth="1"/>
    <col min="8962" max="8967" width="15.5546875" style="2" customWidth="1"/>
    <col min="8968" max="9216" width="11.44140625" style="2"/>
    <col min="9217" max="9217" width="22.88671875" style="2" customWidth="1"/>
    <col min="9218" max="9223" width="15.5546875" style="2" customWidth="1"/>
    <col min="9224" max="9472" width="11.44140625" style="2"/>
    <col min="9473" max="9473" width="22.88671875" style="2" customWidth="1"/>
    <col min="9474" max="9479" width="15.5546875" style="2" customWidth="1"/>
    <col min="9480" max="9728" width="11.44140625" style="2"/>
    <col min="9729" max="9729" width="22.88671875" style="2" customWidth="1"/>
    <col min="9730" max="9735" width="15.5546875" style="2" customWidth="1"/>
    <col min="9736" max="9984" width="11.44140625" style="2"/>
    <col min="9985" max="9985" width="22.88671875" style="2" customWidth="1"/>
    <col min="9986" max="9991" width="15.5546875" style="2" customWidth="1"/>
    <col min="9992" max="10240" width="11.44140625" style="2"/>
    <col min="10241" max="10241" width="22.88671875" style="2" customWidth="1"/>
    <col min="10242" max="10247" width="15.5546875" style="2" customWidth="1"/>
    <col min="10248" max="10496" width="11.44140625" style="2"/>
    <col min="10497" max="10497" width="22.88671875" style="2" customWidth="1"/>
    <col min="10498" max="10503" width="15.5546875" style="2" customWidth="1"/>
    <col min="10504" max="10752" width="11.44140625" style="2"/>
    <col min="10753" max="10753" width="22.88671875" style="2" customWidth="1"/>
    <col min="10754" max="10759" width="15.5546875" style="2" customWidth="1"/>
    <col min="10760" max="11008" width="11.44140625" style="2"/>
    <col min="11009" max="11009" width="22.88671875" style="2" customWidth="1"/>
    <col min="11010" max="11015" width="15.5546875" style="2" customWidth="1"/>
    <col min="11016" max="11264" width="11.44140625" style="2"/>
    <col min="11265" max="11265" width="22.88671875" style="2" customWidth="1"/>
    <col min="11266" max="11271" width="15.5546875" style="2" customWidth="1"/>
    <col min="11272" max="11520" width="11.44140625" style="2"/>
    <col min="11521" max="11521" width="22.88671875" style="2" customWidth="1"/>
    <col min="11522" max="11527" width="15.5546875" style="2" customWidth="1"/>
    <col min="11528" max="11776" width="11.44140625" style="2"/>
    <col min="11777" max="11777" width="22.88671875" style="2" customWidth="1"/>
    <col min="11778" max="11783" width="15.5546875" style="2" customWidth="1"/>
    <col min="11784" max="12032" width="11.44140625" style="2"/>
    <col min="12033" max="12033" width="22.88671875" style="2" customWidth="1"/>
    <col min="12034" max="12039" width="15.5546875" style="2" customWidth="1"/>
    <col min="12040" max="12288" width="11.44140625" style="2"/>
    <col min="12289" max="12289" width="22.88671875" style="2" customWidth="1"/>
    <col min="12290" max="12295" width="15.5546875" style="2" customWidth="1"/>
    <col min="12296" max="12544" width="11.44140625" style="2"/>
    <col min="12545" max="12545" width="22.88671875" style="2" customWidth="1"/>
    <col min="12546" max="12551" width="15.5546875" style="2" customWidth="1"/>
    <col min="12552" max="12800" width="11.44140625" style="2"/>
    <col min="12801" max="12801" width="22.88671875" style="2" customWidth="1"/>
    <col min="12802" max="12807" width="15.5546875" style="2" customWidth="1"/>
    <col min="12808" max="13056" width="11.44140625" style="2"/>
    <col min="13057" max="13057" width="22.88671875" style="2" customWidth="1"/>
    <col min="13058" max="13063" width="15.5546875" style="2" customWidth="1"/>
    <col min="13064" max="13312" width="11.44140625" style="2"/>
    <col min="13313" max="13313" width="22.88671875" style="2" customWidth="1"/>
    <col min="13314" max="13319" width="15.5546875" style="2" customWidth="1"/>
    <col min="13320" max="13568" width="11.44140625" style="2"/>
    <col min="13569" max="13569" width="22.88671875" style="2" customWidth="1"/>
    <col min="13570" max="13575" width="15.5546875" style="2" customWidth="1"/>
    <col min="13576" max="13824" width="11.44140625" style="2"/>
    <col min="13825" max="13825" width="22.88671875" style="2" customWidth="1"/>
    <col min="13826" max="13831" width="15.5546875" style="2" customWidth="1"/>
    <col min="13832" max="14080" width="11.44140625" style="2"/>
    <col min="14081" max="14081" width="22.88671875" style="2" customWidth="1"/>
    <col min="14082" max="14087" width="15.5546875" style="2" customWidth="1"/>
    <col min="14088" max="14336" width="11.44140625" style="2"/>
    <col min="14337" max="14337" width="22.88671875" style="2" customWidth="1"/>
    <col min="14338" max="14343" width="15.5546875" style="2" customWidth="1"/>
    <col min="14344" max="14592" width="11.44140625" style="2"/>
    <col min="14593" max="14593" width="22.88671875" style="2" customWidth="1"/>
    <col min="14594" max="14599" width="15.5546875" style="2" customWidth="1"/>
    <col min="14600" max="14848" width="11.44140625" style="2"/>
    <col min="14849" max="14849" width="22.88671875" style="2" customWidth="1"/>
    <col min="14850" max="14855" width="15.5546875" style="2" customWidth="1"/>
    <col min="14856" max="15104" width="11.44140625" style="2"/>
    <col min="15105" max="15105" width="22.88671875" style="2" customWidth="1"/>
    <col min="15106" max="15111" width="15.5546875" style="2" customWidth="1"/>
    <col min="15112" max="15360" width="11.44140625" style="2"/>
    <col min="15361" max="15361" width="22.88671875" style="2" customWidth="1"/>
    <col min="15362" max="15367" width="15.5546875" style="2" customWidth="1"/>
    <col min="15368" max="15616" width="11.44140625" style="2"/>
    <col min="15617" max="15617" width="22.88671875" style="2" customWidth="1"/>
    <col min="15618" max="15623" width="15.5546875" style="2" customWidth="1"/>
    <col min="15624" max="15872" width="11.44140625" style="2"/>
    <col min="15873" max="15873" width="22.88671875" style="2" customWidth="1"/>
    <col min="15874" max="15879" width="15.5546875" style="2" customWidth="1"/>
    <col min="15880" max="16128" width="11.44140625" style="2"/>
    <col min="16129" max="16129" width="22.88671875" style="2" customWidth="1"/>
    <col min="16130" max="16135" width="15.5546875" style="2" customWidth="1"/>
    <col min="16136" max="16384" width="11.44140625" style="2"/>
  </cols>
  <sheetData>
    <row r="1" spans="1:7" x14ac:dyDescent="0.25">
      <c r="A1" s="22" t="s">
        <v>67</v>
      </c>
    </row>
    <row r="3" spans="1:7" ht="14.4" x14ac:dyDescent="0.3">
      <c r="A3" s="24" t="s">
        <v>0</v>
      </c>
      <c r="B3" s="24"/>
      <c r="C3" s="24"/>
      <c r="D3" s="24"/>
      <c r="E3" s="24"/>
      <c r="F3" s="24"/>
      <c r="G3" s="24"/>
    </row>
    <row r="4" spans="1:7" ht="14.4" x14ac:dyDescent="0.3">
      <c r="A4" s="3" t="s">
        <v>1</v>
      </c>
    </row>
    <row r="6" spans="1:7" x14ac:dyDescent="0.25">
      <c r="A6" s="2" t="s">
        <v>2</v>
      </c>
    </row>
    <row r="7" spans="1:7" ht="14.4" x14ac:dyDescent="0.3"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</row>
    <row r="8" spans="1:7" ht="13.8" x14ac:dyDescent="0.3">
      <c r="A8" s="5" t="s">
        <v>9</v>
      </c>
      <c r="B8" s="6">
        <v>380000</v>
      </c>
      <c r="C8" s="6">
        <v>420000</v>
      </c>
      <c r="D8" s="7">
        <v>600000</v>
      </c>
      <c r="E8" s="6">
        <v>400000</v>
      </c>
      <c r="F8" s="6">
        <v>480000</v>
      </c>
      <c r="G8" s="6">
        <v>550000</v>
      </c>
    </row>
    <row r="10" spans="1:7" x14ac:dyDescent="0.25">
      <c r="A10" s="2" t="s">
        <v>10</v>
      </c>
    </row>
    <row r="11" spans="1:7" x14ac:dyDescent="0.25">
      <c r="A11" s="1" t="s">
        <v>55</v>
      </c>
    </row>
    <row r="12" spans="1:7" x14ac:dyDescent="0.25">
      <c r="A12" s="8">
        <v>100000</v>
      </c>
    </row>
    <row r="14" spans="1:7" x14ac:dyDescent="0.25">
      <c r="A14" s="2" t="s">
        <v>11</v>
      </c>
    </row>
    <row r="15" spans="1:7" ht="14.4" x14ac:dyDescent="0.3">
      <c r="B15" s="4" t="s">
        <v>3</v>
      </c>
      <c r="C15" s="4" t="s">
        <v>4</v>
      </c>
      <c r="D15" s="4" t="s">
        <v>5</v>
      </c>
      <c r="E15" s="4" t="s">
        <v>6</v>
      </c>
      <c r="F15" s="4" t="s">
        <v>7</v>
      </c>
      <c r="G15" s="4" t="s">
        <v>8</v>
      </c>
    </row>
    <row r="16" spans="1:7" ht="13.8" x14ac:dyDescent="0.3">
      <c r="A16" s="5" t="s">
        <v>12</v>
      </c>
      <c r="B16" s="6">
        <v>200000</v>
      </c>
      <c r="C16" s="6">
        <v>240000</v>
      </c>
      <c r="D16" s="7">
        <v>360000</v>
      </c>
      <c r="E16" s="6">
        <v>200000</v>
      </c>
      <c r="F16" s="6">
        <v>300000</v>
      </c>
      <c r="G16" s="6">
        <v>400000</v>
      </c>
    </row>
    <row r="18" spans="1:7" x14ac:dyDescent="0.25">
      <c r="A18" s="1" t="s">
        <v>56</v>
      </c>
    </row>
    <row r="19" spans="1:7" x14ac:dyDescent="0.25">
      <c r="A19" s="2" t="s">
        <v>13</v>
      </c>
    </row>
    <row r="22" spans="1:7" x14ac:dyDescent="0.25">
      <c r="A22" s="2" t="s">
        <v>14</v>
      </c>
    </row>
    <row r="23" spans="1:7" ht="14.4" x14ac:dyDescent="0.3"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</row>
    <row r="24" spans="1:7" ht="13.8" x14ac:dyDescent="0.3">
      <c r="A24" s="5" t="s">
        <v>15</v>
      </c>
      <c r="B24" s="6">
        <v>18000</v>
      </c>
      <c r="C24" s="6">
        <v>14000</v>
      </c>
      <c r="D24" s="6">
        <v>4000</v>
      </c>
      <c r="E24" s="6">
        <v>8000</v>
      </c>
      <c r="F24" s="6">
        <v>6000</v>
      </c>
      <c r="G24" s="6">
        <v>20000</v>
      </c>
    </row>
    <row r="26" spans="1:7" ht="14.4" x14ac:dyDescent="0.3">
      <c r="B26" s="4" t="s">
        <v>3</v>
      </c>
      <c r="C26" s="4" t="s">
        <v>4</v>
      </c>
      <c r="D26" s="4" t="s">
        <v>5</v>
      </c>
      <c r="E26" s="4" t="s">
        <v>6</v>
      </c>
      <c r="F26" s="4" t="s">
        <v>7</v>
      </c>
      <c r="G26" s="4" t="s">
        <v>8</v>
      </c>
    </row>
    <row r="27" spans="1:7" ht="13.8" x14ac:dyDescent="0.3">
      <c r="A27" s="5" t="s">
        <v>16</v>
      </c>
      <c r="B27" s="6">
        <v>5180</v>
      </c>
      <c r="C27" s="6">
        <v>6000</v>
      </c>
      <c r="D27" s="6">
        <v>1600</v>
      </c>
      <c r="E27" s="6">
        <v>2470</v>
      </c>
      <c r="F27" s="6">
        <v>2800</v>
      </c>
      <c r="G27" s="6">
        <v>10000</v>
      </c>
    </row>
    <row r="29" spans="1:7" x14ac:dyDescent="0.25">
      <c r="A29" s="2" t="s">
        <v>17</v>
      </c>
    </row>
    <row r="30" spans="1:7" ht="14.4" x14ac:dyDescent="0.3">
      <c r="B30" s="4" t="s">
        <v>3</v>
      </c>
      <c r="C30" s="4" t="s">
        <v>4</v>
      </c>
      <c r="D30" s="4" t="s">
        <v>5</v>
      </c>
      <c r="E30" s="4" t="s">
        <v>6</v>
      </c>
      <c r="F30" s="4" t="s">
        <v>7</v>
      </c>
      <c r="G30" s="4" t="s">
        <v>8</v>
      </c>
    </row>
    <row r="31" spans="1:7" ht="13.8" x14ac:dyDescent="0.3">
      <c r="A31" s="5" t="s">
        <v>18</v>
      </c>
      <c r="B31" s="6">
        <v>40000</v>
      </c>
      <c r="C31" s="6">
        <v>40000</v>
      </c>
      <c r="D31" s="6">
        <v>40000</v>
      </c>
      <c r="E31" s="6">
        <v>40000</v>
      </c>
      <c r="F31" s="6">
        <v>40000</v>
      </c>
      <c r="G31" s="6">
        <v>40000</v>
      </c>
    </row>
    <row r="33" spans="1:7" x14ac:dyDescent="0.25">
      <c r="A33" s="2" t="s">
        <v>19</v>
      </c>
    </row>
    <row r="35" spans="1:7" x14ac:dyDescent="0.25">
      <c r="A35" s="2" t="s">
        <v>20</v>
      </c>
    </row>
    <row r="36" spans="1:7" x14ac:dyDescent="0.25">
      <c r="A36" s="2" t="s">
        <v>21</v>
      </c>
    </row>
    <row r="37" spans="1:7" x14ac:dyDescent="0.25">
      <c r="A37" s="2" t="s">
        <v>22</v>
      </c>
    </row>
    <row r="38" spans="1:7" x14ac:dyDescent="0.25">
      <c r="A38" s="2" t="s">
        <v>23</v>
      </c>
    </row>
    <row r="39" spans="1:7" x14ac:dyDescent="0.25">
      <c r="A39" s="2" t="s">
        <v>24</v>
      </c>
    </row>
    <row r="41" spans="1:7" ht="14.4" x14ac:dyDescent="0.3">
      <c r="A41" s="9" t="s">
        <v>25</v>
      </c>
      <c r="B41" s="10"/>
      <c r="C41" s="10"/>
      <c r="D41" s="10"/>
      <c r="E41" s="10"/>
      <c r="F41" s="10"/>
      <c r="G41" s="10"/>
    </row>
    <row r="43" spans="1:7" ht="14.4" x14ac:dyDescent="0.3">
      <c r="A43" s="3" t="s">
        <v>26</v>
      </c>
    </row>
    <row r="44" spans="1:7" ht="14.4" x14ac:dyDescent="0.3">
      <c r="B44" s="4" t="s">
        <v>3</v>
      </c>
      <c r="C44" s="4" t="s">
        <v>4</v>
      </c>
      <c r="D44" s="4" t="s">
        <v>5</v>
      </c>
      <c r="E44" s="4" t="s">
        <v>6</v>
      </c>
      <c r="F44" s="4" t="s">
        <v>7</v>
      </c>
      <c r="G44" s="4" t="s">
        <v>8</v>
      </c>
    </row>
    <row r="45" spans="1:7" ht="30" customHeight="1" x14ac:dyDescent="0.3">
      <c r="A45" s="11" t="s">
        <v>50</v>
      </c>
      <c r="B45" s="12">
        <f>(B8*0.75)*0.65</f>
        <v>185250</v>
      </c>
      <c r="C45" s="12">
        <f t="shared" ref="C45:G45" si="0">(C8*0.75)*0.65</f>
        <v>204750</v>
      </c>
      <c r="D45" s="12">
        <f t="shared" si="0"/>
        <v>292500</v>
      </c>
      <c r="E45" s="12">
        <f t="shared" si="0"/>
        <v>195000</v>
      </c>
      <c r="F45" s="12">
        <f t="shared" si="0"/>
        <v>234000</v>
      </c>
      <c r="G45" s="12">
        <f t="shared" si="0"/>
        <v>268125</v>
      </c>
    </row>
    <row r="46" spans="1:7" ht="30" customHeight="1" x14ac:dyDescent="0.3">
      <c r="A46" s="11" t="s">
        <v>51</v>
      </c>
      <c r="B46" s="13">
        <v>100000</v>
      </c>
      <c r="C46" s="13">
        <f>(B8*0.75)*0.35</f>
        <v>99750</v>
      </c>
      <c r="D46" s="13">
        <f t="shared" ref="D46:G46" si="1">(C8*0.75)*0.35</f>
        <v>110250</v>
      </c>
      <c r="E46" s="13">
        <f t="shared" si="1"/>
        <v>157500</v>
      </c>
      <c r="F46" s="13">
        <f t="shared" si="1"/>
        <v>105000</v>
      </c>
      <c r="G46" s="13">
        <f t="shared" si="1"/>
        <v>125999.99999999999</v>
      </c>
    </row>
    <row r="47" spans="1:7" ht="13.8" x14ac:dyDescent="0.3">
      <c r="A47" s="5"/>
      <c r="B47" s="13">
        <f t="shared" ref="B47:G47" si="2">SUM(B45:B46)</f>
        <v>285250</v>
      </c>
      <c r="C47" s="13">
        <f t="shared" si="2"/>
        <v>304500</v>
      </c>
      <c r="D47" s="13">
        <f t="shared" si="2"/>
        <v>402750</v>
      </c>
      <c r="E47" s="13">
        <f t="shared" si="2"/>
        <v>352500</v>
      </c>
      <c r="F47" s="13">
        <f t="shared" si="2"/>
        <v>339000</v>
      </c>
      <c r="G47" s="13">
        <f t="shared" si="2"/>
        <v>394125</v>
      </c>
    </row>
    <row r="48" spans="1:7" x14ac:dyDescent="0.25">
      <c r="B48" s="14"/>
      <c r="C48" s="14"/>
      <c r="D48" s="14"/>
      <c r="E48" s="14"/>
      <c r="F48" s="14"/>
      <c r="G48" s="14"/>
    </row>
    <row r="49" spans="1:7" ht="14.4" x14ac:dyDescent="0.3">
      <c r="A49" s="3" t="s">
        <v>27</v>
      </c>
    </row>
    <row r="50" spans="1:7" ht="14.4" x14ac:dyDescent="0.3">
      <c r="B50" s="4" t="s">
        <v>3</v>
      </c>
      <c r="C50" s="4" t="s">
        <v>4</v>
      </c>
      <c r="D50" s="4" t="s">
        <v>5</v>
      </c>
      <c r="E50" s="4" t="s">
        <v>6</v>
      </c>
      <c r="F50" s="4" t="s">
        <v>7</v>
      </c>
      <c r="G50" s="4" t="s">
        <v>8</v>
      </c>
    </row>
    <row r="51" spans="1:7" ht="14.4" x14ac:dyDescent="0.3">
      <c r="A51" s="15" t="s">
        <v>28</v>
      </c>
      <c r="B51" s="12"/>
      <c r="C51" s="12"/>
      <c r="D51" s="12"/>
      <c r="E51" s="12"/>
      <c r="F51" s="12"/>
      <c r="G51" s="12"/>
    </row>
    <row r="52" spans="1:7" ht="13.8" x14ac:dyDescent="0.3">
      <c r="A52" s="5" t="s">
        <v>29</v>
      </c>
      <c r="B52" s="16">
        <f>B8*0.25</f>
        <v>95000</v>
      </c>
      <c r="C52" s="16">
        <f t="shared" ref="C52:G52" si="3">C8*0.25</f>
        <v>105000</v>
      </c>
      <c r="D52" s="16">
        <f t="shared" si="3"/>
        <v>150000</v>
      </c>
      <c r="E52" s="16">
        <f t="shared" si="3"/>
        <v>100000</v>
      </c>
      <c r="F52" s="16">
        <f t="shared" si="3"/>
        <v>120000</v>
      </c>
      <c r="G52" s="16">
        <f t="shared" si="3"/>
        <v>137500</v>
      </c>
    </row>
    <row r="53" spans="1:7" ht="15.75" customHeight="1" x14ac:dyDescent="0.3">
      <c r="A53" s="17" t="s">
        <v>30</v>
      </c>
      <c r="B53" s="13">
        <f>B47</f>
        <v>285250</v>
      </c>
      <c r="C53" s="13">
        <f t="shared" ref="C53:G53" si="4">C47</f>
        <v>304500</v>
      </c>
      <c r="D53" s="13">
        <f t="shared" si="4"/>
        <v>402750</v>
      </c>
      <c r="E53" s="13">
        <f t="shared" si="4"/>
        <v>352500</v>
      </c>
      <c r="F53" s="13">
        <f t="shared" si="4"/>
        <v>339000</v>
      </c>
      <c r="G53" s="13">
        <f t="shared" si="4"/>
        <v>394125</v>
      </c>
    </row>
    <row r="54" spans="1:7" ht="13.8" x14ac:dyDescent="0.3">
      <c r="A54" s="5" t="s">
        <v>31</v>
      </c>
      <c r="B54" s="13">
        <f t="shared" ref="B54:G54" si="5">SUM(B51:B53)</f>
        <v>380250</v>
      </c>
      <c r="C54" s="13">
        <f t="shared" si="5"/>
        <v>409500</v>
      </c>
      <c r="D54" s="18">
        <f t="shared" si="5"/>
        <v>552750</v>
      </c>
      <c r="E54" s="13">
        <f t="shared" si="5"/>
        <v>452500</v>
      </c>
      <c r="F54" s="13">
        <f t="shared" si="5"/>
        <v>459000</v>
      </c>
      <c r="G54" s="13">
        <f t="shared" si="5"/>
        <v>531625</v>
      </c>
    </row>
    <row r="55" spans="1:7" ht="14.4" x14ac:dyDescent="0.3">
      <c r="A55" s="15" t="s">
        <v>32</v>
      </c>
      <c r="B55" s="12"/>
      <c r="C55" s="12"/>
      <c r="D55" s="12"/>
      <c r="E55" s="12"/>
      <c r="F55" s="12"/>
      <c r="G55" s="12"/>
    </row>
    <row r="56" spans="1:7" ht="13.8" x14ac:dyDescent="0.3">
      <c r="A56" s="5" t="s">
        <v>15</v>
      </c>
      <c r="B56" s="16">
        <f>B24</f>
        <v>18000</v>
      </c>
      <c r="C56" s="16">
        <f t="shared" ref="C56:G56" si="6">C24</f>
        <v>14000</v>
      </c>
      <c r="D56" s="16">
        <f t="shared" si="6"/>
        <v>4000</v>
      </c>
      <c r="E56" s="16">
        <f t="shared" si="6"/>
        <v>8000</v>
      </c>
      <c r="F56" s="16">
        <f t="shared" si="6"/>
        <v>6000</v>
      </c>
      <c r="G56" s="16">
        <f t="shared" si="6"/>
        <v>20000</v>
      </c>
    </row>
    <row r="57" spans="1:7" ht="13.8" x14ac:dyDescent="0.3">
      <c r="A57" s="5" t="s">
        <v>31</v>
      </c>
      <c r="B57" s="6">
        <f t="shared" ref="B57:G57" si="7">SUM(B56:B56)</f>
        <v>18000</v>
      </c>
      <c r="C57" s="6">
        <f t="shared" si="7"/>
        <v>14000</v>
      </c>
      <c r="D57" s="7">
        <f t="shared" si="7"/>
        <v>4000</v>
      </c>
      <c r="E57" s="6">
        <f t="shared" si="7"/>
        <v>8000</v>
      </c>
      <c r="F57" s="6">
        <f t="shared" si="7"/>
        <v>6000</v>
      </c>
      <c r="G57" s="6">
        <f t="shared" si="7"/>
        <v>20000</v>
      </c>
    </row>
    <row r="58" spans="1:7" ht="16.5" customHeight="1" x14ac:dyDescent="0.3">
      <c r="A58" s="17" t="s">
        <v>33</v>
      </c>
      <c r="B58" s="13">
        <f t="shared" ref="B58:G58" si="8">B54+B57</f>
        <v>398250</v>
      </c>
      <c r="C58" s="13">
        <f t="shared" si="8"/>
        <v>423500</v>
      </c>
      <c r="D58" s="18">
        <f t="shared" si="8"/>
        <v>556750</v>
      </c>
      <c r="E58" s="13">
        <f t="shared" si="8"/>
        <v>460500</v>
      </c>
      <c r="F58" s="13">
        <f t="shared" si="8"/>
        <v>465000</v>
      </c>
      <c r="G58" s="13">
        <f t="shared" si="8"/>
        <v>551625</v>
      </c>
    </row>
    <row r="59" spans="1:7" x14ac:dyDescent="0.25">
      <c r="B59" s="14"/>
      <c r="C59" s="14"/>
      <c r="D59" s="14"/>
      <c r="E59" s="14"/>
      <c r="F59" s="14"/>
      <c r="G59" s="14"/>
    </row>
    <row r="60" spans="1:7" ht="14.4" x14ac:dyDescent="0.3">
      <c r="A60" s="3" t="s">
        <v>34</v>
      </c>
      <c r="B60" s="14"/>
      <c r="C60" s="14"/>
      <c r="D60" s="14"/>
      <c r="E60" s="14"/>
      <c r="F60" s="14"/>
      <c r="G60" s="14"/>
    </row>
    <row r="61" spans="1:7" ht="14.4" x14ac:dyDescent="0.3">
      <c r="B61" s="4" t="s">
        <v>3</v>
      </c>
      <c r="C61" s="4" t="s">
        <v>4</v>
      </c>
      <c r="D61" s="4" t="s">
        <v>5</v>
      </c>
      <c r="E61" s="4" t="s">
        <v>6</v>
      </c>
      <c r="F61" s="4" t="s">
        <v>7</v>
      </c>
      <c r="G61" s="4" t="s">
        <v>8</v>
      </c>
    </row>
    <row r="62" spans="1:7" ht="14.4" x14ac:dyDescent="0.3">
      <c r="A62" s="15" t="s">
        <v>35</v>
      </c>
      <c r="B62" s="12"/>
      <c r="C62" s="12"/>
      <c r="D62" s="12"/>
      <c r="E62" s="12"/>
      <c r="F62" s="12"/>
      <c r="G62" s="12"/>
    </row>
    <row r="63" spans="1:7" ht="13.8" x14ac:dyDescent="0.3">
      <c r="A63" s="5" t="s">
        <v>36</v>
      </c>
      <c r="B63" s="16">
        <f>B31</f>
        <v>40000</v>
      </c>
      <c r="C63" s="16">
        <f t="shared" ref="C63:G63" si="9">C31</f>
        <v>40000</v>
      </c>
      <c r="D63" s="16">
        <f t="shared" si="9"/>
        <v>40000</v>
      </c>
      <c r="E63" s="16">
        <f t="shared" si="9"/>
        <v>40000</v>
      </c>
      <c r="F63" s="16">
        <f t="shared" si="9"/>
        <v>40000</v>
      </c>
      <c r="G63" s="16">
        <f t="shared" si="9"/>
        <v>40000</v>
      </c>
    </row>
    <row r="64" spans="1:7" ht="13.8" x14ac:dyDescent="0.3">
      <c r="A64" s="5" t="s">
        <v>37</v>
      </c>
      <c r="B64" s="16">
        <v>160000</v>
      </c>
      <c r="C64" s="16">
        <f>B16</f>
        <v>200000</v>
      </c>
      <c r="D64" s="16">
        <f t="shared" ref="D64:G64" si="10">C16</f>
        <v>240000</v>
      </c>
      <c r="E64" s="16">
        <f t="shared" si="10"/>
        <v>360000</v>
      </c>
      <c r="F64" s="16">
        <f t="shared" si="10"/>
        <v>200000</v>
      </c>
      <c r="G64" s="16">
        <f t="shared" si="10"/>
        <v>300000</v>
      </c>
    </row>
    <row r="65" spans="1:7" ht="13.8" x14ac:dyDescent="0.3">
      <c r="A65" s="5" t="s">
        <v>31</v>
      </c>
      <c r="B65" s="16">
        <f>SUM(B63:B64)</f>
        <v>200000</v>
      </c>
      <c r="C65" s="16">
        <f t="shared" ref="C65:G65" si="11">SUM(C63:C64)</f>
        <v>240000</v>
      </c>
      <c r="D65" s="16">
        <f t="shared" si="11"/>
        <v>280000</v>
      </c>
      <c r="E65" s="16">
        <f t="shared" si="11"/>
        <v>400000</v>
      </c>
      <c r="F65" s="16">
        <f t="shared" si="11"/>
        <v>240000</v>
      </c>
      <c r="G65" s="16">
        <f t="shared" si="11"/>
        <v>340000</v>
      </c>
    </row>
    <row r="66" spans="1:7" ht="14.4" x14ac:dyDescent="0.3">
      <c r="A66" s="15" t="s">
        <v>38</v>
      </c>
      <c r="B66" s="16"/>
      <c r="C66" s="16"/>
      <c r="D66" s="16"/>
      <c r="E66" s="16"/>
      <c r="F66" s="16"/>
      <c r="G66" s="16"/>
    </row>
    <row r="67" spans="1:7" ht="13.8" x14ac:dyDescent="0.3">
      <c r="A67" s="5" t="s">
        <v>16</v>
      </c>
      <c r="B67" s="16">
        <f>B27</f>
        <v>5180</v>
      </c>
      <c r="C67" s="16">
        <f t="shared" ref="C67:G67" si="12">C27</f>
        <v>6000</v>
      </c>
      <c r="D67" s="16">
        <f t="shared" si="12"/>
        <v>1600</v>
      </c>
      <c r="E67" s="16">
        <f t="shared" si="12"/>
        <v>2470</v>
      </c>
      <c r="F67" s="16">
        <f t="shared" si="12"/>
        <v>2800</v>
      </c>
      <c r="G67" s="16">
        <f t="shared" si="12"/>
        <v>10000</v>
      </c>
    </row>
    <row r="68" spans="1:7" ht="13.8" x14ac:dyDescent="0.3">
      <c r="A68" s="5" t="s">
        <v>31</v>
      </c>
      <c r="B68" s="6">
        <f>B67</f>
        <v>5180</v>
      </c>
      <c r="C68" s="6">
        <f t="shared" ref="C68:G68" si="13">C67</f>
        <v>6000</v>
      </c>
      <c r="D68" s="6">
        <f t="shared" si="13"/>
        <v>1600</v>
      </c>
      <c r="E68" s="6">
        <f t="shared" si="13"/>
        <v>2470</v>
      </c>
      <c r="F68" s="6">
        <f t="shared" si="13"/>
        <v>2800</v>
      </c>
      <c r="G68" s="6">
        <f t="shared" si="13"/>
        <v>10000</v>
      </c>
    </row>
    <row r="69" spans="1:7" ht="14.25" customHeight="1" x14ac:dyDescent="0.3">
      <c r="A69" s="17" t="s">
        <v>39</v>
      </c>
      <c r="B69" s="13">
        <f>B68+B65</f>
        <v>205180</v>
      </c>
      <c r="C69" s="13">
        <f t="shared" ref="C69:G69" si="14">C68+C65</f>
        <v>246000</v>
      </c>
      <c r="D69" s="13">
        <f>D68+D65</f>
        <v>281600</v>
      </c>
      <c r="E69" s="13">
        <f t="shared" si="14"/>
        <v>402470</v>
      </c>
      <c r="F69" s="13">
        <f t="shared" si="14"/>
        <v>242800</v>
      </c>
      <c r="G69" s="13">
        <f t="shared" si="14"/>
        <v>350000</v>
      </c>
    </row>
    <row r="70" spans="1:7" x14ac:dyDescent="0.25">
      <c r="B70" s="14"/>
      <c r="C70" s="14"/>
      <c r="D70" s="14"/>
      <c r="E70" s="14"/>
      <c r="F70" s="14"/>
      <c r="G70" s="14"/>
    </row>
    <row r="71" spans="1:7" ht="14.4" x14ac:dyDescent="0.3">
      <c r="A71" s="3" t="s">
        <v>40</v>
      </c>
      <c r="B71" s="14"/>
      <c r="C71" s="14"/>
      <c r="D71" s="14"/>
      <c r="E71" s="14"/>
      <c r="F71" s="14"/>
      <c r="G71" s="14"/>
    </row>
    <row r="72" spans="1:7" ht="16.5" customHeight="1" x14ac:dyDescent="0.3">
      <c r="B72" s="4" t="s">
        <v>3</v>
      </c>
      <c r="C72" s="4" t="s">
        <v>4</v>
      </c>
      <c r="D72" s="4" t="s">
        <v>5</v>
      </c>
      <c r="E72" s="4" t="s">
        <v>6</v>
      </c>
      <c r="F72" s="4" t="s">
        <v>7</v>
      </c>
      <c r="G72" s="4" t="s">
        <v>8</v>
      </c>
    </row>
    <row r="73" spans="1:7" ht="13.8" x14ac:dyDescent="0.3">
      <c r="A73" s="5" t="s">
        <v>41</v>
      </c>
      <c r="B73" s="12">
        <v>20000</v>
      </c>
      <c r="C73" s="12">
        <v>20000</v>
      </c>
      <c r="D73" s="12">
        <v>20000</v>
      </c>
      <c r="E73" s="12">
        <v>20000</v>
      </c>
      <c r="F73" s="12">
        <v>20000</v>
      </c>
      <c r="G73" s="12">
        <v>20000</v>
      </c>
    </row>
    <row r="74" spans="1:7" ht="13.8" x14ac:dyDescent="0.3">
      <c r="A74" s="5" t="s">
        <v>42</v>
      </c>
      <c r="B74" s="16">
        <f>B58</f>
        <v>398250</v>
      </c>
      <c r="C74" s="16">
        <f t="shared" ref="C74:G74" si="15">C58</f>
        <v>423500</v>
      </c>
      <c r="D74" s="16">
        <f t="shared" si="15"/>
        <v>556750</v>
      </c>
      <c r="E74" s="16">
        <f t="shared" si="15"/>
        <v>460500</v>
      </c>
      <c r="F74" s="16">
        <f t="shared" si="15"/>
        <v>465000</v>
      </c>
      <c r="G74" s="16">
        <f t="shared" si="15"/>
        <v>551625</v>
      </c>
    </row>
    <row r="75" spans="1:7" x14ac:dyDescent="0.25">
      <c r="A75" s="5" t="s">
        <v>43</v>
      </c>
      <c r="B75" s="19">
        <f>SUM(B73:B74)</f>
        <v>418250</v>
      </c>
      <c r="C75" s="19">
        <f t="shared" ref="C75:G75" si="16">SUM(C73:C74)</f>
        <v>443500</v>
      </c>
      <c r="D75" s="19">
        <f t="shared" si="16"/>
        <v>576750</v>
      </c>
      <c r="E75" s="19">
        <f t="shared" si="16"/>
        <v>480500</v>
      </c>
      <c r="F75" s="19">
        <f t="shared" si="16"/>
        <v>485000</v>
      </c>
      <c r="G75" s="19">
        <f t="shared" si="16"/>
        <v>571625</v>
      </c>
    </row>
    <row r="76" spans="1:7" x14ac:dyDescent="0.25">
      <c r="A76" s="20" t="s">
        <v>44</v>
      </c>
      <c r="B76" s="21">
        <f>B69</f>
        <v>205180</v>
      </c>
      <c r="C76" s="21">
        <f t="shared" ref="C76:G76" si="17">C69</f>
        <v>246000</v>
      </c>
      <c r="D76" s="21">
        <f t="shared" si="17"/>
        <v>281600</v>
      </c>
      <c r="E76" s="21">
        <f t="shared" si="17"/>
        <v>402470</v>
      </c>
      <c r="F76" s="21">
        <f t="shared" si="17"/>
        <v>242800</v>
      </c>
      <c r="G76" s="21">
        <f t="shared" si="17"/>
        <v>350000</v>
      </c>
    </row>
    <row r="77" spans="1:7" ht="26.4" x14ac:dyDescent="0.25">
      <c r="A77" s="17" t="s">
        <v>45</v>
      </c>
      <c r="B77" s="19">
        <f>B75-B76</f>
        <v>213070</v>
      </c>
      <c r="C77" s="19">
        <f t="shared" ref="C77:G77" si="18">C75-C76</f>
        <v>197500</v>
      </c>
      <c r="D77" s="19">
        <f t="shared" si="18"/>
        <v>295150</v>
      </c>
      <c r="E77" s="19">
        <f t="shared" si="18"/>
        <v>78030</v>
      </c>
      <c r="F77" s="19">
        <f t="shared" si="18"/>
        <v>242200</v>
      </c>
      <c r="G77" s="19">
        <f t="shared" si="18"/>
        <v>221625</v>
      </c>
    </row>
    <row r="78" spans="1:7" ht="13.8" x14ac:dyDescent="0.3">
      <c r="A78" s="5" t="s">
        <v>46</v>
      </c>
      <c r="B78" s="12">
        <v>20000</v>
      </c>
      <c r="C78" s="12">
        <v>20000</v>
      </c>
      <c r="D78" s="12">
        <v>20000</v>
      </c>
      <c r="E78" s="12">
        <v>20000</v>
      </c>
      <c r="F78" s="12">
        <v>20000</v>
      </c>
      <c r="G78" s="12">
        <v>20000</v>
      </c>
    </row>
    <row r="79" spans="1:7" x14ac:dyDescent="0.25">
      <c r="A79" s="5" t="s">
        <v>47</v>
      </c>
      <c r="B79" s="18">
        <f>B77-B78</f>
        <v>193070</v>
      </c>
      <c r="C79" s="18">
        <f t="shared" ref="C79:G79" si="19">C77-C78</f>
        <v>177500</v>
      </c>
      <c r="D79" s="18">
        <f t="shared" si="19"/>
        <v>275150</v>
      </c>
      <c r="E79" s="18">
        <f t="shared" si="19"/>
        <v>58030</v>
      </c>
      <c r="F79" s="18">
        <f t="shared" si="19"/>
        <v>222200</v>
      </c>
      <c r="G79" s="18">
        <f t="shared" si="19"/>
        <v>201625</v>
      </c>
    </row>
    <row r="80" spans="1:7" x14ac:dyDescent="0.25">
      <c r="B80" s="14"/>
      <c r="C80" s="14"/>
      <c r="D80" s="14"/>
      <c r="E80" s="14"/>
      <c r="F80" s="14"/>
      <c r="G80" s="14"/>
    </row>
    <row r="81" spans="1:7" ht="14.4" x14ac:dyDescent="0.3">
      <c r="A81" s="3" t="s">
        <v>52</v>
      </c>
      <c r="C81" s="14"/>
      <c r="D81" s="14"/>
      <c r="E81" s="14"/>
      <c r="F81" s="14"/>
      <c r="G81" s="14"/>
    </row>
    <row r="82" spans="1:7" x14ac:dyDescent="0.25">
      <c r="A82" s="1" t="s">
        <v>68</v>
      </c>
    </row>
    <row r="83" spans="1:7" x14ac:dyDescent="0.25">
      <c r="A83" s="1" t="s">
        <v>69</v>
      </c>
    </row>
    <row r="84" spans="1:7" x14ac:dyDescent="0.25">
      <c r="A84" s="1" t="s">
        <v>70</v>
      </c>
    </row>
    <row r="85" spans="1:7" x14ac:dyDescent="0.25">
      <c r="A85" s="2" t="s">
        <v>71</v>
      </c>
    </row>
    <row r="86" spans="1:7" x14ac:dyDescent="0.25">
      <c r="A86" s="2" t="s">
        <v>74</v>
      </c>
    </row>
    <row r="87" spans="1:7" x14ac:dyDescent="0.25">
      <c r="A87" s="2" t="s">
        <v>72</v>
      </c>
    </row>
    <row r="88" spans="1:7" x14ac:dyDescent="0.25">
      <c r="A88" s="2" t="s">
        <v>73</v>
      </c>
    </row>
  </sheetData>
  <mergeCells count="1"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B6D2-CD66-449F-B340-4B637978F475}">
  <dimension ref="A1:G84"/>
  <sheetViews>
    <sheetView topLeftCell="A65" workbookViewId="0">
      <selection activeCell="A85" sqref="A85"/>
    </sheetView>
  </sheetViews>
  <sheetFormatPr baseColWidth="10" defaultRowHeight="13.2" x14ac:dyDescent="0.25"/>
  <cols>
    <col min="1" max="1" width="22.88671875" style="2" customWidth="1"/>
    <col min="2" max="7" width="15.5546875" style="2" customWidth="1"/>
    <col min="8" max="256" width="11.44140625" style="2"/>
    <col min="257" max="257" width="22.88671875" style="2" customWidth="1"/>
    <col min="258" max="263" width="15.5546875" style="2" customWidth="1"/>
    <col min="264" max="512" width="11.44140625" style="2"/>
    <col min="513" max="513" width="22.88671875" style="2" customWidth="1"/>
    <col min="514" max="519" width="15.5546875" style="2" customWidth="1"/>
    <col min="520" max="768" width="11.44140625" style="2"/>
    <col min="769" max="769" width="22.88671875" style="2" customWidth="1"/>
    <col min="770" max="775" width="15.5546875" style="2" customWidth="1"/>
    <col min="776" max="1024" width="11.44140625" style="2"/>
    <col min="1025" max="1025" width="22.88671875" style="2" customWidth="1"/>
    <col min="1026" max="1031" width="15.5546875" style="2" customWidth="1"/>
    <col min="1032" max="1280" width="11.44140625" style="2"/>
    <col min="1281" max="1281" width="22.88671875" style="2" customWidth="1"/>
    <col min="1282" max="1287" width="15.5546875" style="2" customWidth="1"/>
    <col min="1288" max="1536" width="11.44140625" style="2"/>
    <col min="1537" max="1537" width="22.88671875" style="2" customWidth="1"/>
    <col min="1538" max="1543" width="15.5546875" style="2" customWidth="1"/>
    <col min="1544" max="1792" width="11.44140625" style="2"/>
    <col min="1793" max="1793" width="22.88671875" style="2" customWidth="1"/>
    <col min="1794" max="1799" width="15.5546875" style="2" customWidth="1"/>
    <col min="1800" max="2048" width="11.44140625" style="2"/>
    <col min="2049" max="2049" width="22.88671875" style="2" customWidth="1"/>
    <col min="2050" max="2055" width="15.5546875" style="2" customWidth="1"/>
    <col min="2056" max="2304" width="11.44140625" style="2"/>
    <col min="2305" max="2305" width="22.88671875" style="2" customWidth="1"/>
    <col min="2306" max="2311" width="15.5546875" style="2" customWidth="1"/>
    <col min="2312" max="2560" width="11.44140625" style="2"/>
    <col min="2561" max="2561" width="22.88671875" style="2" customWidth="1"/>
    <col min="2562" max="2567" width="15.5546875" style="2" customWidth="1"/>
    <col min="2568" max="2816" width="11.44140625" style="2"/>
    <col min="2817" max="2817" width="22.88671875" style="2" customWidth="1"/>
    <col min="2818" max="2823" width="15.5546875" style="2" customWidth="1"/>
    <col min="2824" max="3072" width="11.44140625" style="2"/>
    <col min="3073" max="3073" width="22.88671875" style="2" customWidth="1"/>
    <col min="3074" max="3079" width="15.5546875" style="2" customWidth="1"/>
    <col min="3080" max="3328" width="11.44140625" style="2"/>
    <col min="3329" max="3329" width="22.88671875" style="2" customWidth="1"/>
    <col min="3330" max="3335" width="15.5546875" style="2" customWidth="1"/>
    <col min="3336" max="3584" width="11.44140625" style="2"/>
    <col min="3585" max="3585" width="22.88671875" style="2" customWidth="1"/>
    <col min="3586" max="3591" width="15.5546875" style="2" customWidth="1"/>
    <col min="3592" max="3840" width="11.44140625" style="2"/>
    <col min="3841" max="3841" width="22.88671875" style="2" customWidth="1"/>
    <col min="3842" max="3847" width="15.5546875" style="2" customWidth="1"/>
    <col min="3848" max="4096" width="11.44140625" style="2"/>
    <col min="4097" max="4097" width="22.88671875" style="2" customWidth="1"/>
    <col min="4098" max="4103" width="15.5546875" style="2" customWidth="1"/>
    <col min="4104" max="4352" width="11.44140625" style="2"/>
    <col min="4353" max="4353" width="22.88671875" style="2" customWidth="1"/>
    <col min="4354" max="4359" width="15.5546875" style="2" customWidth="1"/>
    <col min="4360" max="4608" width="11.44140625" style="2"/>
    <col min="4609" max="4609" width="22.88671875" style="2" customWidth="1"/>
    <col min="4610" max="4615" width="15.5546875" style="2" customWidth="1"/>
    <col min="4616" max="4864" width="11.44140625" style="2"/>
    <col min="4865" max="4865" width="22.88671875" style="2" customWidth="1"/>
    <col min="4866" max="4871" width="15.5546875" style="2" customWidth="1"/>
    <col min="4872" max="5120" width="11.44140625" style="2"/>
    <col min="5121" max="5121" width="22.88671875" style="2" customWidth="1"/>
    <col min="5122" max="5127" width="15.5546875" style="2" customWidth="1"/>
    <col min="5128" max="5376" width="11.44140625" style="2"/>
    <col min="5377" max="5377" width="22.88671875" style="2" customWidth="1"/>
    <col min="5378" max="5383" width="15.5546875" style="2" customWidth="1"/>
    <col min="5384" max="5632" width="11.44140625" style="2"/>
    <col min="5633" max="5633" width="22.88671875" style="2" customWidth="1"/>
    <col min="5634" max="5639" width="15.5546875" style="2" customWidth="1"/>
    <col min="5640" max="5888" width="11.44140625" style="2"/>
    <col min="5889" max="5889" width="22.88671875" style="2" customWidth="1"/>
    <col min="5890" max="5895" width="15.5546875" style="2" customWidth="1"/>
    <col min="5896" max="6144" width="11.44140625" style="2"/>
    <col min="6145" max="6145" width="22.88671875" style="2" customWidth="1"/>
    <col min="6146" max="6151" width="15.5546875" style="2" customWidth="1"/>
    <col min="6152" max="6400" width="11.44140625" style="2"/>
    <col min="6401" max="6401" width="22.88671875" style="2" customWidth="1"/>
    <col min="6402" max="6407" width="15.5546875" style="2" customWidth="1"/>
    <col min="6408" max="6656" width="11.44140625" style="2"/>
    <col min="6657" max="6657" width="22.88671875" style="2" customWidth="1"/>
    <col min="6658" max="6663" width="15.5546875" style="2" customWidth="1"/>
    <col min="6664" max="6912" width="11.44140625" style="2"/>
    <col min="6913" max="6913" width="22.88671875" style="2" customWidth="1"/>
    <col min="6914" max="6919" width="15.5546875" style="2" customWidth="1"/>
    <col min="6920" max="7168" width="11.44140625" style="2"/>
    <col min="7169" max="7169" width="22.88671875" style="2" customWidth="1"/>
    <col min="7170" max="7175" width="15.5546875" style="2" customWidth="1"/>
    <col min="7176" max="7424" width="11.44140625" style="2"/>
    <col min="7425" max="7425" width="22.88671875" style="2" customWidth="1"/>
    <col min="7426" max="7431" width="15.5546875" style="2" customWidth="1"/>
    <col min="7432" max="7680" width="11.44140625" style="2"/>
    <col min="7681" max="7681" width="22.88671875" style="2" customWidth="1"/>
    <col min="7682" max="7687" width="15.5546875" style="2" customWidth="1"/>
    <col min="7688" max="7936" width="11.44140625" style="2"/>
    <col min="7937" max="7937" width="22.88671875" style="2" customWidth="1"/>
    <col min="7938" max="7943" width="15.5546875" style="2" customWidth="1"/>
    <col min="7944" max="8192" width="11.44140625" style="2"/>
    <col min="8193" max="8193" width="22.88671875" style="2" customWidth="1"/>
    <col min="8194" max="8199" width="15.5546875" style="2" customWidth="1"/>
    <col min="8200" max="8448" width="11.44140625" style="2"/>
    <col min="8449" max="8449" width="22.88671875" style="2" customWidth="1"/>
    <col min="8450" max="8455" width="15.5546875" style="2" customWidth="1"/>
    <col min="8456" max="8704" width="11.44140625" style="2"/>
    <col min="8705" max="8705" width="22.88671875" style="2" customWidth="1"/>
    <col min="8706" max="8711" width="15.5546875" style="2" customWidth="1"/>
    <col min="8712" max="8960" width="11.44140625" style="2"/>
    <col min="8961" max="8961" width="22.88671875" style="2" customWidth="1"/>
    <col min="8962" max="8967" width="15.5546875" style="2" customWidth="1"/>
    <col min="8968" max="9216" width="11.44140625" style="2"/>
    <col min="9217" max="9217" width="22.88671875" style="2" customWidth="1"/>
    <col min="9218" max="9223" width="15.5546875" style="2" customWidth="1"/>
    <col min="9224" max="9472" width="11.44140625" style="2"/>
    <col min="9473" max="9473" width="22.88671875" style="2" customWidth="1"/>
    <col min="9474" max="9479" width="15.5546875" style="2" customWidth="1"/>
    <col min="9480" max="9728" width="11.44140625" style="2"/>
    <col min="9729" max="9729" width="22.88671875" style="2" customWidth="1"/>
    <col min="9730" max="9735" width="15.5546875" style="2" customWidth="1"/>
    <col min="9736" max="9984" width="11.44140625" style="2"/>
    <col min="9985" max="9985" width="22.88671875" style="2" customWidth="1"/>
    <col min="9986" max="9991" width="15.5546875" style="2" customWidth="1"/>
    <col min="9992" max="10240" width="11.44140625" style="2"/>
    <col min="10241" max="10241" width="22.88671875" style="2" customWidth="1"/>
    <col min="10242" max="10247" width="15.5546875" style="2" customWidth="1"/>
    <col min="10248" max="10496" width="11.44140625" style="2"/>
    <col min="10497" max="10497" width="22.88671875" style="2" customWidth="1"/>
    <col min="10498" max="10503" width="15.5546875" style="2" customWidth="1"/>
    <col min="10504" max="10752" width="11.44140625" style="2"/>
    <col min="10753" max="10753" width="22.88671875" style="2" customWidth="1"/>
    <col min="10754" max="10759" width="15.5546875" style="2" customWidth="1"/>
    <col min="10760" max="11008" width="11.44140625" style="2"/>
    <col min="11009" max="11009" width="22.88671875" style="2" customWidth="1"/>
    <col min="11010" max="11015" width="15.5546875" style="2" customWidth="1"/>
    <col min="11016" max="11264" width="11.44140625" style="2"/>
    <col min="11265" max="11265" width="22.88671875" style="2" customWidth="1"/>
    <col min="11266" max="11271" width="15.5546875" style="2" customWidth="1"/>
    <col min="11272" max="11520" width="11.44140625" style="2"/>
    <col min="11521" max="11521" width="22.88671875" style="2" customWidth="1"/>
    <col min="11522" max="11527" width="15.5546875" style="2" customWidth="1"/>
    <col min="11528" max="11776" width="11.44140625" style="2"/>
    <col min="11777" max="11777" width="22.88671875" style="2" customWidth="1"/>
    <col min="11778" max="11783" width="15.5546875" style="2" customWidth="1"/>
    <col min="11784" max="12032" width="11.44140625" style="2"/>
    <col min="12033" max="12033" width="22.88671875" style="2" customWidth="1"/>
    <col min="12034" max="12039" width="15.5546875" style="2" customWidth="1"/>
    <col min="12040" max="12288" width="11.44140625" style="2"/>
    <col min="12289" max="12289" width="22.88671875" style="2" customWidth="1"/>
    <col min="12290" max="12295" width="15.5546875" style="2" customWidth="1"/>
    <col min="12296" max="12544" width="11.44140625" style="2"/>
    <col min="12545" max="12545" width="22.88671875" style="2" customWidth="1"/>
    <col min="12546" max="12551" width="15.5546875" style="2" customWidth="1"/>
    <col min="12552" max="12800" width="11.44140625" style="2"/>
    <col min="12801" max="12801" width="22.88671875" style="2" customWidth="1"/>
    <col min="12802" max="12807" width="15.5546875" style="2" customWidth="1"/>
    <col min="12808" max="13056" width="11.44140625" style="2"/>
    <col min="13057" max="13057" width="22.88671875" style="2" customWidth="1"/>
    <col min="13058" max="13063" width="15.5546875" style="2" customWidth="1"/>
    <col min="13064" max="13312" width="11.44140625" style="2"/>
    <col min="13313" max="13313" width="22.88671875" style="2" customWidth="1"/>
    <col min="13314" max="13319" width="15.5546875" style="2" customWidth="1"/>
    <col min="13320" max="13568" width="11.44140625" style="2"/>
    <col min="13569" max="13569" width="22.88671875" style="2" customWidth="1"/>
    <col min="13570" max="13575" width="15.5546875" style="2" customWidth="1"/>
    <col min="13576" max="13824" width="11.44140625" style="2"/>
    <col min="13825" max="13825" width="22.88671875" style="2" customWidth="1"/>
    <col min="13826" max="13831" width="15.5546875" style="2" customWidth="1"/>
    <col min="13832" max="14080" width="11.44140625" style="2"/>
    <col min="14081" max="14081" width="22.88671875" style="2" customWidth="1"/>
    <col min="14082" max="14087" width="15.5546875" style="2" customWidth="1"/>
    <col min="14088" max="14336" width="11.44140625" style="2"/>
    <col min="14337" max="14337" width="22.88671875" style="2" customWidth="1"/>
    <col min="14338" max="14343" width="15.5546875" style="2" customWidth="1"/>
    <col min="14344" max="14592" width="11.44140625" style="2"/>
    <col min="14593" max="14593" width="22.88671875" style="2" customWidth="1"/>
    <col min="14594" max="14599" width="15.5546875" style="2" customWidth="1"/>
    <col min="14600" max="14848" width="11.44140625" style="2"/>
    <col min="14849" max="14849" width="22.88671875" style="2" customWidth="1"/>
    <col min="14850" max="14855" width="15.5546875" style="2" customWidth="1"/>
    <col min="14856" max="15104" width="11.44140625" style="2"/>
    <col min="15105" max="15105" width="22.88671875" style="2" customWidth="1"/>
    <col min="15106" max="15111" width="15.5546875" style="2" customWidth="1"/>
    <col min="15112" max="15360" width="11.44140625" style="2"/>
    <col min="15361" max="15361" width="22.88671875" style="2" customWidth="1"/>
    <col min="15362" max="15367" width="15.5546875" style="2" customWidth="1"/>
    <col min="15368" max="15616" width="11.44140625" style="2"/>
    <col min="15617" max="15617" width="22.88671875" style="2" customWidth="1"/>
    <col min="15618" max="15623" width="15.5546875" style="2" customWidth="1"/>
    <col min="15624" max="15872" width="11.44140625" style="2"/>
    <col min="15873" max="15873" width="22.88671875" style="2" customWidth="1"/>
    <col min="15874" max="15879" width="15.5546875" style="2" customWidth="1"/>
    <col min="15880" max="16128" width="11.44140625" style="2"/>
    <col min="16129" max="16129" width="22.88671875" style="2" customWidth="1"/>
    <col min="16130" max="16135" width="15.5546875" style="2" customWidth="1"/>
    <col min="16136" max="16384" width="11.44140625" style="2"/>
  </cols>
  <sheetData>
    <row r="1" spans="1:7" x14ac:dyDescent="0.25">
      <c r="A1" s="22" t="s">
        <v>67</v>
      </c>
    </row>
    <row r="3" spans="1:7" ht="14.4" x14ac:dyDescent="0.3">
      <c r="A3" s="24" t="s">
        <v>0</v>
      </c>
      <c r="B3" s="24"/>
      <c r="C3" s="24"/>
      <c r="D3" s="24"/>
      <c r="E3" s="24"/>
      <c r="F3" s="24"/>
      <c r="G3" s="24"/>
    </row>
    <row r="4" spans="1:7" ht="14.4" x14ac:dyDescent="0.3">
      <c r="A4" s="3" t="s">
        <v>1</v>
      </c>
    </row>
    <row r="6" spans="1:7" x14ac:dyDescent="0.25">
      <c r="A6" s="2" t="s">
        <v>2</v>
      </c>
    </row>
    <row r="7" spans="1:7" ht="14.4" x14ac:dyDescent="0.3"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</row>
    <row r="8" spans="1:7" ht="13.8" x14ac:dyDescent="0.3">
      <c r="A8" s="5" t="s">
        <v>9</v>
      </c>
      <c r="B8" s="6">
        <v>500000</v>
      </c>
      <c r="C8" s="6">
        <v>460000</v>
      </c>
      <c r="D8" s="7">
        <v>350000</v>
      </c>
      <c r="E8" s="6">
        <v>280000</v>
      </c>
      <c r="F8" s="6">
        <v>400000</v>
      </c>
      <c r="G8" s="6">
        <v>560000</v>
      </c>
    </row>
    <row r="10" spans="1:7" x14ac:dyDescent="0.25">
      <c r="A10" s="1" t="s">
        <v>48</v>
      </c>
    </row>
    <row r="11" spans="1:7" x14ac:dyDescent="0.25">
      <c r="A11" s="1" t="s">
        <v>57</v>
      </c>
    </row>
    <row r="13" spans="1:7" x14ac:dyDescent="0.25">
      <c r="A13" s="2" t="s">
        <v>11</v>
      </c>
    </row>
    <row r="14" spans="1:7" ht="14.4" x14ac:dyDescent="0.3"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</row>
    <row r="15" spans="1:7" ht="13.8" x14ac:dyDescent="0.3">
      <c r="A15" s="5" t="s">
        <v>12</v>
      </c>
      <c r="B15" s="6">
        <v>360000</v>
      </c>
      <c r="C15" s="6">
        <v>300000</v>
      </c>
      <c r="D15" s="7">
        <v>200000</v>
      </c>
      <c r="E15" s="6">
        <v>160000</v>
      </c>
      <c r="F15" s="6">
        <v>400000</v>
      </c>
      <c r="G15" s="6">
        <v>500000</v>
      </c>
    </row>
    <row r="17" spans="1:7" x14ac:dyDescent="0.25">
      <c r="A17" s="1" t="s">
        <v>58</v>
      </c>
    </row>
    <row r="19" spans="1:7" x14ac:dyDescent="0.25">
      <c r="A19" s="2" t="s">
        <v>14</v>
      </c>
    </row>
    <row r="20" spans="1:7" ht="14.4" x14ac:dyDescent="0.3"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</row>
    <row r="21" spans="1:7" ht="13.8" x14ac:dyDescent="0.3">
      <c r="A21" s="5" t="s">
        <v>15</v>
      </c>
      <c r="B21" s="6">
        <v>10000</v>
      </c>
      <c r="C21" s="6">
        <v>8000</v>
      </c>
      <c r="D21" s="6">
        <v>9000</v>
      </c>
      <c r="E21" s="6">
        <v>11000</v>
      </c>
      <c r="F21" s="6">
        <v>10000</v>
      </c>
      <c r="G21" s="6">
        <v>12000</v>
      </c>
    </row>
    <row r="23" spans="1:7" ht="14.4" x14ac:dyDescent="0.3"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</row>
    <row r="24" spans="1:7" ht="13.8" x14ac:dyDescent="0.3">
      <c r="A24" s="5" t="s">
        <v>16</v>
      </c>
      <c r="B24" s="6">
        <v>50000</v>
      </c>
      <c r="C24" s="6">
        <v>60000</v>
      </c>
      <c r="D24" s="6">
        <v>56000</v>
      </c>
      <c r="E24" s="6">
        <v>56000</v>
      </c>
      <c r="F24" s="6">
        <v>60000</v>
      </c>
      <c r="G24" s="6">
        <v>70000</v>
      </c>
    </row>
    <row r="26" spans="1:7" x14ac:dyDescent="0.25">
      <c r="A26" s="2" t="s">
        <v>17</v>
      </c>
    </row>
    <row r="27" spans="1:7" ht="14.4" x14ac:dyDescent="0.3">
      <c r="B27" s="4" t="s">
        <v>3</v>
      </c>
      <c r="C27" s="4" t="s">
        <v>4</v>
      </c>
      <c r="D27" s="4" t="s">
        <v>5</v>
      </c>
      <c r="E27" s="4" t="s">
        <v>6</v>
      </c>
      <c r="F27" s="4" t="s">
        <v>7</v>
      </c>
      <c r="G27" s="4" t="s">
        <v>8</v>
      </c>
    </row>
    <row r="28" spans="1:7" ht="13.8" x14ac:dyDescent="0.3">
      <c r="A28" s="5" t="s">
        <v>18</v>
      </c>
      <c r="B28" s="6">
        <v>120000</v>
      </c>
      <c r="C28" s="6">
        <v>120000</v>
      </c>
      <c r="D28" s="6">
        <v>120000</v>
      </c>
      <c r="E28" s="6">
        <v>120000</v>
      </c>
      <c r="F28" s="6">
        <v>120000</v>
      </c>
      <c r="G28" s="6">
        <v>120000</v>
      </c>
    </row>
    <row r="30" spans="1:7" x14ac:dyDescent="0.25">
      <c r="A30" s="1" t="s">
        <v>49</v>
      </c>
    </row>
    <row r="32" spans="1:7" x14ac:dyDescent="0.25">
      <c r="A32" s="2" t="s">
        <v>20</v>
      </c>
    </row>
    <row r="33" spans="1:7" x14ac:dyDescent="0.25">
      <c r="A33" s="2" t="s">
        <v>21</v>
      </c>
    </row>
    <row r="34" spans="1:7" x14ac:dyDescent="0.25">
      <c r="A34" s="2" t="s">
        <v>22</v>
      </c>
    </row>
    <row r="35" spans="1:7" x14ac:dyDescent="0.25">
      <c r="A35" s="2" t="s">
        <v>23</v>
      </c>
    </row>
    <row r="36" spans="1:7" x14ac:dyDescent="0.25">
      <c r="A36" s="2" t="s">
        <v>24</v>
      </c>
    </row>
    <row r="38" spans="1:7" ht="14.4" x14ac:dyDescent="0.3">
      <c r="A38" s="9" t="s">
        <v>25</v>
      </c>
      <c r="B38" s="10"/>
      <c r="C38" s="10"/>
      <c r="D38" s="10"/>
      <c r="E38" s="10"/>
      <c r="F38" s="10"/>
      <c r="G38" s="10"/>
    </row>
    <row r="40" spans="1:7" ht="14.4" x14ac:dyDescent="0.3">
      <c r="A40" s="3" t="s">
        <v>26</v>
      </c>
    </row>
    <row r="41" spans="1:7" ht="14.4" x14ac:dyDescent="0.3">
      <c r="B41" s="4" t="s">
        <v>3</v>
      </c>
      <c r="C41" s="4" t="s">
        <v>4</v>
      </c>
      <c r="D41" s="4" t="s">
        <v>5</v>
      </c>
      <c r="E41" s="4" t="s">
        <v>6</v>
      </c>
      <c r="F41" s="4" t="s">
        <v>7</v>
      </c>
      <c r="G41" s="4" t="s">
        <v>8</v>
      </c>
    </row>
    <row r="42" spans="1:7" ht="27" x14ac:dyDescent="0.3">
      <c r="A42" s="11" t="s">
        <v>53</v>
      </c>
      <c r="B42" s="12">
        <f>(B8*0.6)*0.4</f>
        <v>120000</v>
      </c>
      <c r="C42" s="12">
        <f t="shared" ref="C42:G42" si="0">(C8*0.6)*0.4</f>
        <v>110400</v>
      </c>
      <c r="D42" s="12">
        <f t="shared" si="0"/>
        <v>84000</v>
      </c>
      <c r="E42" s="12">
        <f t="shared" si="0"/>
        <v>67200</v>
      </c>
      <c r="F42" s="12">
        <f t="shared" si="0"/>
        <v>96000</v>
      </c>
      <c r="G42" s="12">
        <f t="shared" si="0"/>
        <v>134400</v>
      </c>
    </row>
    <row r="43" spans="1:7" ht="40.200000000000003" x14ac:dyDescent="0.3">
      <c r="A43" s="11" t="s">
        <v>54</v>
      </c>
      <c r="B43" s="13">
        <v>80000</v>
      </c>
      <c r="C43" s="13">
        <f>(B8*0.6)*0.6</f>
        <v>180000</v>
      </c>
      <c r="D43" s="13">
        <f t="shared" ref="D43:G43" si="1">(C8*0.6)*0.6</f>
        <v>165600</v>
      </c>
      <c r="E43" s="13">
        <f t="shared" si="1"/>
        <v>126000</v>
      </c>
      <c r="F43" s="13">
        <f t="shared" si="1"/>
        <v>100800</v>
      </c>
      <c r="G43" s="13">
        <f t="shared" si="1"/>
        <v>144000</v>
      </c>
    </row>
    <row r="44" spans="1:7" ht="13.8" x14ac:dyDescent="0.3">
      <c r="A44" s="5"/>
      <c r="B44" s="13">
        <f>SUM(B42:B43)</f>
        <v>200000</v>
      </c>
      <c r="C44" s="13">
        <f t="shared" ref="C44:G44" si="2">SUM(C42:C43)</f>
        <v>290400</v>
      </c>
      <c r="D44" s="13">
        <f t="shared" si="2"/>
        <v>249600</v>
      </c>
      <c r="E44" s="13">
        <f t="shared" si="2"/>
        <v>193200</v>
      </c>
      <c r="F44" s="13">
        <f t="shared" si="2"/>
        <v>196800</v>
      </c>
      <c r="G44" s="13">
        <f t="shared" si="2"/>
        <v>278400</v>
      </c>
    </row>
    <row r="45" spans="1:7" x14ac:dyDescent="0.25">
      <c r="B45" s="14"/>
      <c r="C45" s="14"/>
      <c r="D45" s="14"/>
      <c r="E45" s="14"/>
      <c r="F45" s="14"/>
      <c r="G45" s="14"/>
    </row>
    <row r="46" spans="1:7" ht="14.4" x14ac:dyDescent="0.3">
      <c r="A46" s="3" t="s">
        <v>27</v>
      </c>
    </row>
    <row r="47" spans="1:7" ht="14.4" x14ac:dyDescent="0.3">
      <c r="B47" s="4" t="s">
        <v>3</v>
      </c>
      <c r="C47" s="4" t="s">
        <v>4</v>
      </c>
      <c r="D47" s="4" t="s">
        <v>5</v>
      </c>
      <c r="E47" s="4" t="s">
        <v>6</v>
      </c>
      <c r="F47" s="4" t="s">
        <v>7</v>
      </c>
      <c r="G47" s="4" t="s">
        <v>8</v>
      </c>
    </row>
    <row r="48" spans="1:7" ht="14.4" x14ac:dyDescent="0.3">
      <c r="A48" s="15" t="s">
        <v>28</v>
      </c>
      <c r="B48" s="12"/>
      <c r="C48" s="12"/>
      <c r="D48" s="12"/>
      <c r="E48" s="12"/>
      <c r="F48" s="12"/>
      <c r="G48" s="12"/>
    </row>
    <row r="49" spans="1:7" ht="13.8" x14ac:dyDescent="0.3">
      <c r="A49" s="5" t="s">
        <v>29</v>
      </c>
      <c r="B49" s="16">
        <f>B8*0.4</f>
        <v>200000</v>
      </c>
      <c r="C49" s="16">
        <f t="shared" ref="C49:G49" si="3">C8*0.4</f>
        <v>184000</v>
      </c>
      <c r="D49" s="16">
        <f t="shared" si="3"/>
        <v>140000</v>
      </c>
      <c r="E49" s="16">
        <f t="shared" si="3"/>
        <v>112000</v>
      </c>
      <c r="F49" s="16">
        <f t="shared" si="3"/>
        <v>160000</v>
      </c>
      <c r="G49" s="16">
        <f t="shared" si="3"/>
        <v>224000</v>
      </c>
    </row>
    <row r="50" spans="1:7" ht="13.8" x14ac:dyDescent="0.3">
      <c r="A50" s="17" t="s">
        <v>30</v>
      </c>
      <c r="B50" s="13">
        <f>B44</f>
        <v>200000</v>
      </c>
      <c r="C50" s="13">
        <f t="shared" ref="C50:G50" si="4">C44</f>
        <v>290400</v>
      </c>
      <c r="D50" s="13">
        <f t="shared" si="4"/>
        <v>249600</v>
      </c>
      <c r="E50" s="13">
        <f t="shared" si="4"/>
        <v>193200</v>
      </c>
      <c r="F50" s="13">
        <f t="shared" si="4"/>
        <v>196800</v>
      </c>
      <c r="G50" s="13">
        <f t="shared" si="4"/>
        <v>278400</v>
      </c>
    </row>
    <row r="51" spans="1:7" ht="13.8" x14ac:dyDescent="0.3">
      <c r="A51" s="5" t="s">
        <v>31</v>
      </c>
      <c r="B51" s="13">
        <f t="shared" ref="B51:G51" si="5">SUM(B48:B50)</f>
        <v>400000</v>
      </c>
      <c r="C51" s="13">
        <f t="shared" si="5"/>
        <v>474400</v>
      </c>
      <c r="D51" s="18">
        <f t="shared" si="5"/>
        <v>389600</v>
      </c>
      <c r="E51" s="13">
        <f t="shared" si="5"/>
        <v>305200</v>
      </c>
      <c r="F51" s="13">
        <f t="shared" si="5"/>
        <v>356800</v>
      </c>
      <c r="G51" s="13">
        <f t="shared" si="5"/>
        <v>502400</v>
      </c>
    </row>
    <row r="52" spans="1:7" ht="14.4" x14ac:dyDescent="0.3">
      <c r="A52" s="15" t="s">
        <v>32</v>
      </c>
      <c r="B52" s="12"/>
      <c r="C52" s="12"/>
      <c r="D52" s="12"/>
      <c r="E52" s="12"/>
      <c r="F52" s="12"/>
      <c r="G52" s="12"/>
    </row>
    <row r="53" spans="1:7" ht="13.8" x14ac:dyDescent="0.3">
      <c r="A53" s="5" t="s">
        <v>15</v>
      </c>
      <c r="B53" s="16">
        <f>B21</f>
        <v>10000</v>
      </c>
      <c r="C53" s="16">
        <f t="shared" ref="C53:G53" si="6">C21</f>
        <v>8000</v>
      </c>
      <c r="D53" s="16">
        <f t="shared" si="6"/>
        <v>9000</v>
      </c>
      <c r="E53" s="16">
        <f t="shared" si="6"/>
        <v>11000</v>
      </c>
      <c r="F53" s="16">
        <f t="shared" si="6"/>
        <v>10000</v>
      </c>
      <c r="G53" s="16">
        <f t="shared" si="6"/>
        <v>12000</v>
      </c>
    </row>
    <row r="54" spans="1:7" ht="13.8" x14ac:dyDescent="0.3">
      <c r="A54" s="5" t="s">
        <v>31</v>
      </c>
      <c r="B54" s="6">
        <f t="shared" ref="B54:G54" si="7">SUM(B53:B53)</f>
        <v>10000</v>
      </c>
      <c r="C54" s="6">
        <f t="shared" si="7"/>
        <v>8000</v>
      </c>
      <c r="D54" s="7">
        <f t="shared" si="7"/>
        <v>9000</v>
      </c>
      <c r="E54" s="6">
        <f t="shared" si="7"/>
        <v>11000</v>
      </c>
      <c r="F54" s="6">
        <f t="shared" si="7"/>
        <v>10000</v>
      </c>
      <c r="G54" s="6">
        <f t="shared" si="7"/>
        <v>12000</v>
      </c>
    </row>
    <row r="55" spans="1:7" ht="13.8" x14ac:dyDescent="0.3">
      <c r="A55" s="17" t="s">
        <v>33</v>
      </c>
      <c r="B55" s="13">
        <f t="shared" ref="B55:G55" si="8">B51+B54</f>
        <v>410000</v>
      </c>
      <c r="C55" s="13">
        <f t="shared" si="8"/>
        <v>482400</v>
      </c>
      <c r="D55" s="18">
        <f t="shared" si="8"/>
        <v>398600</v>
      </c>
      <c r="E55" s="13">
        <f t="shared" si="8"/>
        <v>316200</v>
      </c>
      <c r="F55" s="13">
        <f t="shared" si="8"/>
        <v>366800</v>
      </c>
      <c r="G55" s="13">
        <f t="shared" si="8"/>
        <v>514400</v>
      </c>
    </row>
    <row r="56" spans="1:7" x14ac:dyDescent="0.25">
      <c r="B56" s="14"/>
      <c r="C56" s="14"/>
      <c r="D56" s="14"/>
      <c r="E56" s="14"/>
      <c r="F56" s="14"/>
      <c r="G56" s="14"/>
    </row>
    <row r="57" spans="1:7" ht="14.4" x14ac:dyDescent="0.3">
      <c r="A57" s="3" t="s">
        <v>34</v>
      </c>
      <c r="B57" s="14"/>
      <c r="C57" s="14"/>
      <c r="D57" s="14"/>
      <c r="E57" s="14"/>
      <c r="F57" s="14"/>
      <c r="G57" s="14"/>
    </row>
    <row r="58" spans="1:7" ht="14.4" x14ac:dyDescent="0.3">
      <c r="B58" s="4" t="s">
        <v>3</v>
      </c>
      <c r="C58" s="4" t="s">
        <v>4</v>
      </c>
      <c r="D58" s="4" t="s">
        <v>5</v>
      </c>
      <c r="E58" s="4" t="s">
        <v>6</v>
      </c>
      <c r="F58" s="4" t="s">
        <v>7</v>
      </c>
      <c r="G58" s="4" t="s">
        <v>8</v>
      </c>
    </row>
    <row r="59" spans="1:7" ht="14.4" x14ac:dyDescent="0.3">
      <c r="A59" s="15" t="s">
        <v>35</v>
      </c>
      <c r="B59" s="12"/>
      <c r="C59" s="12"/>
      <c r="D59" s="12"/>
      <c r="E59" s="12"/>
      <c r="F59" s="12"/>
      <c r="G59" s="12"/>
    </row>
    <row r="60" spans="1:7" ht="13.8" x14ac:dyDescent="0.3">
      <c r="A60" s="5" t="s">
        <v>36</v>
      </c>
      <c r="B60" s="16">
        <f>B28</f>
        <v>120000</v>
      </c>
      <c r="C60" s="16">
        <f t="shared" ref="C60:G60" si="9">C28</f>
        <v>120000</v>
      </c>
      <c r="D60" s="16">
        <f t="shared" si="9"/>
        <v>120000</v>
      </c>
      <c r="E60" s="16">
        <f t="shared" si="9"/>
        <v>120000</v>
      </c>
      <c r="F60" s="16">
        <f t="shared" si="9"/>
        <v>120000</v>
      </c>
      <c r="G60" s="16">
        <f t="shared" si="9"/>
        <v>120000</v>
      </c>
    </row>
    <row r="61" spans="1:7" ht="13.8" x14ac:dyDescent="0.3">
      <c r="A61" s="5" t="s">
        <v>37</v>
      </c>
      <c r="B61" s="16">
        <v>600000</v>
      </c>
      <c r="C61" s="16">
        <f>B15</f>
        <v>360000</v>
      </c>
      <c r="D61" s="16">
        <f t="shared" ref="D61:G61" si="10">C15</f>
        <v>300000</v>
      </c>
      <c r="E61" s="16">
        <f t="shared" si="10"/>
        <v>200000</v>
      </c>
      <c r="F61" s="16">
        <f t="shared" si="10"/>
        <v>160000</v>
      </c>
      <c r="G61" s="16">
        <f t="shared" si="10"/>
        <v>400000</v>
      </c>
    </row>
    <row r="62" spans="1:7" ht="13.8" x14ac:dyDescent="0.3">
      <c r="A62" s="5" t="s">
        <v>31</v>
      </c>
      <c r="B62" s="16">
        <f>SUM(B60:B61)</f>
        <v>720000</v>
      </c>
      <c r="C62" s="16">
        <f t="shared" ref="C62:G62" si="11">SUM(C60:C61)</f>
        <v>480000</v>
      </c>
      <c r="D62" s="16">
        <f t="shared" si="11"/>
        <v>420000</v>
      </c>
      <c r="E62" s="16">
        <f t="shared" si="11"/>
        <v>320000</v>
      </c>
      <c r="F62" s="16">
        <f t="shared" si="11"/>
        <v>280000</v>
      </c>
      <c r="G62" s="16">
        <f t="shared" si="11"/>
        <v>520000</v>
      </c>
    </row>
    <row r="63" spans="1:7" ht="14.4" x14ac:dyDescent="0.3">
      <c r="A63" s="15" t="s">
        <v>38</v>
      </c>
      <c r="B63" s="16"/>
      <c r="C63" s="16"/>
      <c r="D63" s="16"/>
      <c r="E63" s="16"/>
      <c r="F63" s="16"/>
      <c r="G63" s="16"/>
    </row>
    <row r="64" spans="1:7" ht="13.8" x14ac:dyDescent="0.3">
      <c r="A64" s="5" t="s">
        <v>16</v>
      </c>
      <c r="B64" s="16">
        <f>B24</f>
        <v>50000</v>
      </c>
      <c r="C64" s="16">
        <f t="shared" ref="C64:G64" si="12">C24</f>
        <v>60000</v>
      </c>
      <c r="D64" s="16">
        <f t="shared" si="12"/>
        <v>56000</v>
      </c>
      <c r="E64" s="16">
        <f t="shared" si="12"/>
        <v>56000</v>
      </c>
      <c r="F64" s="16">
        <f t="shared" si="12"/>
        <v>60000</v>
      </c>
      <c r="G64" s="16">
        <f t="shared" si="12"/>
        <v>70000</v>
      </c>
    </row>
    <row r="65" spans="1:7" ht="13.8" x14ac:dyDescent="0.3">
      <c r="A65" s="5" t="s">
        <v>31</v>
      </c>
      <c r="B65" s="6">
        <f>B64</f>
        <v>50000</v>
      </c>
      <c r="C65" s="6">
        <f t="shared" ref="C65:G65" si="13">C64</f>
        <v>60000</v>
      </c>
      <c r="D65" s="6">
        <f t="shared" si="13"/>
        <v>56000</v>
      </c>
      <c r="E65" s="6">
        <f t="shared" si="13"/>
        <v>56000</v>
      </c>
      <c r="F65" s="6">
        <f t="shared" si="13"/>
        <v>60000</v>
      </c>
      <c r="G65" s="6">
        <f t="shared" si="13"/>
        <v>70000</v>
      </c>
    </row>
    <row r="66" spans="1:7" ht="13.8" x14ac:dyDescent="0.3">
      <c r="A66" s="17" t="s">
        <v>39</v>
      </c>
      <c r="B66" s="13">
        <f>B65+B62</f>
        <v>770000</v>
      </c>
      <c r="C66" s="13">
        <f t="shared" ref="C66:G66" si="14">C65+C62</f>
        <v>540000</v>
      </c>
      <c r="D66" s="13">
        <f t="shared" si="14"/>
        <v>476000</v>
      </c>
      <c r="E66" s="13">
        <f t="shared" si="14"/>
        <v>376000</v>
      </c>
      <c r="F66" s="13">
        <f t="shared" si="14"/>
        <v>340000</v>
      </c>
      <c r="G66" s="13">
        <f t="shared" si="14"/>
        <v>590000</v>
      </c>
    </row>
    <row r="67" spans="1:7" x14ac:dyDescent="0.25">
      <c r="B67" s="14"/>
      <c r="C67" s="14"/>
      <c r="D67" s="14"/>
      <c r="E67" s="14"/>
      <c r="F67" s="14"/>
      <c r="G67" s="14"/>
    </row>
    <row r="68" spans="1:7" ht="14.4" x14ac:dyDescent="0.3">
      <c r="A68" s="3" t="s">
        <v>40</v>
      </c>
      <c r="B68" s="14"/>
      <c r="C68" s="14"/>
      <c r="D68" s="14"/>
      <c r="E68" s="14"/>
      <c r="F68" s="14"/>
      <c r="G68" s="14"/>
    </row>
    <row r="69" spans="1:7" ht="14.4" x14ac:dyDescent="0.3">
      <c r="B69" s="4" t="s">
        <v>3</v>
      </c>
      <c r="C69" s="4" t="s">
        <v>4</v>
      </c>
      <c r="D69" s="4" t="s">
        <v>5</v>
      </c>
      <c r="E69" s="4" t="s">
        <v>6</v>
      </c>
      <c r="F69" s="4" t="s">
        <v>7</v>
      </c>
      <c r="G69" s="4" t="s">
        <v>8</v>
      </c>
    </row>
    <row r="70" spans="1:7" ht="13.8" x14ac:dyDescent="0.3">
      <c r="A70" s="5" t="s">
        <v>41</v>
      </c>
      <c r="B70" s="12">
        <v>30000</v>
      </c>
      <c r="C70" s="12">
        <v>30000</v>
      </c>
      <c r="D70" s="12">
        <v>30000</v>
      </c>
      <c r="E70" s="12">
        <v>30000</v>
      </c>
      <c r="F70" s="12">
        <v>30000</v>
      </c>
      <c r="G70" s="12">
        <v>30000</v>
      </c>
    </row>
    <row r="71" spans="1:7" ht="13.8" x14ac:dyDescent="0.3">
      <c r="A71" s="5" t="s">
        <v>42</v>
      </c>
      <c r="B71" s="16">
        <f>B55</f>
        <v>410000</v>
      </c>
      <c r="C71" s="16">
        <f t="shared" ref="C71:G71" si="15">C55</f>
        <v>482400</v>
      </c>
      <c r="D71" s="16">
        <f t="shared" si="15"/>
        <v>398600</v>
      </c>
      <c r="E71" s="16">
        <f t="shared" si="15"/>
        <v>316200</v>
      </c>
      <c r="F71" s="16">
        <f t="shared" si="15"/>
        <v>366800</v>
      </c>
      <c r="G71" s="16">
        <f t="shared" si="15"/>
        <v>514400</v>
      </c>
    </row>
    <row r="72" spans="1:7" x14ac:dyDescent="0.25">
      <c r="A72" s="5" t="s">
        <v>43</v>
      </c>
      <c r="B72" s="19">
        <f>SUM(B70:B71)</f>
        <v>440000</v>
      </c>
      <c r="C72" s="19">
        <f t="shared" ref="C72:G72" si="16">SUM(C70:C71)</f>
        <v>512400</v>
      </c>
      <c r="D72" s="19">
        <f t="shared" si="16"/>
        <v>428600</v>
      </c>
      <c r="E72" s="19">
        <f t="shared" si="16"/>
        <v>346200</v>
      </c>
      <c r="F72" s="19">
        <f t="shared" si="16"/>
        <v>396800</v>
      </c>
      <c r="G72" s="19">
        <f t="shared" si="16"/>
        <v>544400</v>
      </c>
    </row>
    <row r="73" spans="1:7" x14ac:dyDescent="0.25">
      <c r="A73" s="20" t="s">
        <v>44</v>
      </c>
      <c r="B73" s="21">
        <f>B66</f>
        <v>770000</v>
      </c>
      <c r="C73" s="21">
        <f t="shared" ref="C73:G73" si="17">C66</f>
        <v>540000</v>
      </c>
      <c r="D73" s="21">
        <f t="shared" si="17"/>
        <v>476000</v>
      </c>
      <c r="E73" s="21">
        <f t="shared" si="17"/>
        <v>376000</v>
      </c>
      <c r="F73" s="21">
        <f t="shared" si="17"/>
        <v>340000</v>
      </c>
      <c r="G73" s="21">
        <f t="shared" si="17"/>
        <v>590000</v>
      </c>
    </row>
    <row r="74" spans="1:7" ht="26.4" x14ac:dyDescent="0.25">
      <c r="A74" s="17" t="s">
        <v>45</v>
      </c>
      <c r="B74" s="19">
        <f>B72-B73</f>
        <v>-330000</v>
      </c>
      <c r="C74" s="19">
        <f t="shared" ref="C74:G74" si="18">C72-C73</f>
        <v>-27600</v>
      </c>
      <c r="D74" s="19">
        <f t="shared" si="18"/>
        <v>-47400</v>
      </c>
      <c r="E74" s="19">
        <f t="shared" si="18"/>
        <v>-29800</v>
      </c>
      <c r="F74" s="19">
        <f t="shared" si="18"/>
        <v>56800</v>
      </c>
      <c r="G74" s="19">
        <f t="shared" si="18"/>
        <v>-45600</v>
      </c>
    </row>
    <row r="75" spans="1:7" ht="13.8" x14ac:dyDescent="0.3">
      <c r="A75" s="5" t="s">
        <v>46</v>
      </c>
      <c r="B75" s="12">
        <v>30000</v>
      </c>
      <c r="C75" s="12">
        <v>30000</v>
      </c>
      <c r="D75" s="12">
        <v>30000</v>
      </c>
      <c r="E75" s="12">
        <v>30000</v>
      </c>
      <c r="F75" s="12">
        <v>30000</v>
      </c>
      <c r="G75" s="12">
        <v>30000</v>
      </c>
    </row>
    <row r="76" spans="1:7" x14ac:dyDescent="0.25">
      <c r="A76" s="5" t="s">
        <v>47</v>
      </c>
      <c r="B76" s="18">
        <f>B74-B75</f>
        <v>-360000</v>
      </c>
      <c r="C76" s="18">
        <f t="shared" ref="C76:G76" si="19">C74-C75</f>
        <v>-57600</v>
      </c>
      <c r="D76" s="18">
        <f t="shared" si="19"/>
        <v>-77400</v>
      </c>
      <c r="E76" s="18">
        <f t="shared" si="19"/>
        <v>-59800</v>
      </c>
      <c r="F76" s="18">
        <f t="shared" si="19"/>
        <v>26800</v>
      </c>
      <c r="G76" s="18">
        <f t="shared" si="19"/>
        <v>-75600</v>
      </c>
    </row>
    <row r="77" spans="1:7" x14ac:dyDescent="0.25">
      <c r="B77" s="14"/>
      <c r="C77" s="14"/>
      <c r="D77" s="14"/>
      <c r="E77" s="14"/>
      <c r="F77" s="14"/>
      <c r="G77" s="14"/>
    </row>
    <row r="78" spans="1:7" ht="14.4" x14ac:dyDescent="0.3">
      <c r="A78" s="3" t="s">
        <v>52</v>
      </c>
      <c r="B78" s="14"/>
      <c r="C78" s="14"/>
      <c r="D78" s="14"/>
      <c r="E78" s="14"/>
      <c r="F78" s="14"/>
      <c r="G78" s="14"/>
    </row>
    <row r="79" spans="1:7" x14ac:dyDescent="0.25">
      <c r="A79" s="1" t="s">
        <v>75</v>
      </c>
    </row>
    <row r="80" spans="1:7" x14ac:dyDescent="0.25">
      <c r="A80" s="1" t="s">
        <v>76</v>
      </c>
    </row>
    <row r="81" spans="1:1" x14ac:dyDescent="0.25">
      <c r="A81" s="1" t="s">
        <v>77</v>
      </c>
    </row>
    <row r="82" spans="1:1" x14ac:dyDescent="0.25">
      <c r="A82" s="2" t="s">
        <v>78</v>
      </c>
    </row>
    <row r="83" spans="1:1" x14ac:dyDescent="0.25">
      <c r="A83" s="2" t="s">
        <v>79</v>
      </c>
    </row>
    <row r="84" spans="1:1" x14ac:dyDescent="0.25">
      <c r="A84" s="2" t="s">
        <v>80</v>
      </c>
    </row>
  </sheetData>
  <mergeCells count="1">
    <mergeCell ref="A3:G3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Inciso 1</vt:lpstr>
      <vt:lpstr>Inciso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SOSA PATRICIA ALEJANDRA</dc:creator>
  <cp:lastModifiedBy>MARIO DANIEL SAJVIN GOMEZ</cp:lastModifiedBy>
  <cp:lastPrinted>2024-03-02T00:27:09Z</cp:lastPrinted>
  <dcterms:created xsi:type="dcterms:W3CDTF">2014-05-02T21:02:54Z</dcterms:created>
  <dcterms:modified xsi:type="dcterms:W3CDTF">2025-03-21T18:49:57Z</dcterms:modified>
</cp:coreProperties>
</file>