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vn\Desktop\URL\Fundamentos de administración\"/>
    </mc:Choice>
  </mc:AlternateContent>
  <xr:revisionPtr revIDLastSave="0" documentId="8_{8CE3392E-4E20-4758-98BB-750ACCD1FEF2}" xr6:coauthVersionLast="47" xr6:coauthVersionMax="47" xr10:uidLastSave="{00000000-0000-0000-0000-000000000000}"/>
  <bookViews>
    <workbookView xWindow="-108" yWindow="-108" windowWidth="23256" windowHeight="13176" activeTab="1" xr2:uid="{94973479-FC48-4CC7-A4EE-520F84DA9A8C}"/>
  </bookViews>
  <sheets>
    <sheet name="Cuadro Presupuesto de Ventas" sheetId="1" r:id="rId1"/>
    <sheet name="Proyección mens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D3" i="2"/>
  <c r="D4" i="2"/>
  <c r="D5" i="2"/>
  <c r="D6" i="2"/>
  <c r="D7" i="2"/>
  <c r="D8" i="2"/>
  <c r="D9" i="2"/>
  <c r="D10" i="2"/>
  <c r="D11" i="2"/>
  <c r="D12" i="2"/>
  <c r="D13" i="2"/>
  <c r="D2" i="2"/>
  <c r="C11" i="1"/>
  <c r="C10" i="1"/>
  <c r="C9" i="1"/>
  <c r="C8" i="1"/>
  <c r="C7" i="1"/>
  <c r="C6" i="1"/>
  <c r="B14" i="2"/>
</calcChain>
</file>

<file path=xl/sharedStrings.xml><?xml version="1.0" encoding="utf-8"?>
<sst xmlns="http://schemas.openxmlformats.org/spreadsheetml/2006/main" count="28" uniqueCount="28">
  <si>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</si>
  <si>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</si>
  <si>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</si>
  <si>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</si>
  <si>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</si>
  <si>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</si>
  <si>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</si>
  <si>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</si>
  <si>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</si>
  <si>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</si>
  <si>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</si>
  <si>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</si>
  <si>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</si>
  <si>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CUADRO DEL PRESUPUESTO DE VENTAS</t>
  </si>
  <si>
    <t>Ventas del año anterior</t>
  </si>
  <si>
    <t>Factores Específicos de Venta</t>
  </si>
  <si>
    <t>De ajuste</t>
  </si>
  <si>
    <t xml:space="preserve">De cambio </t>
  </si>
  <si>
    <t>De crecimiento</t>
  </si>
  <si>
    <t>Presupuesto hasta factores específicos de venta</t>
  </si>
  <si>
    <t>Fuerzas Económicas Generales -5%</t>
  </si>
  <si>
    <t>Presupuesto hasta Fuerzas Económicas Generales</t>
  </si>
  <si>
    <t>Influencia Administrativa 10%</t>
  </si>
  <si>
    <t>Presupuesto de Ventas</t>
  </si>
  <si>
    <t>Total 2025</t>
  </si>
  <si>
    <t>Mensual 2025</t>
  </si>
  <si>
    <t xml:space="preserve">venta real del mes/total de ventas anuales </t>
  </si>
  <si>
    <t>para sacar el porcentaje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</si>
</sst>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-;\-[$Q-100A]* #,##0.00_-;_-[$Q-100A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/>
    <xf numFmtId="10" fontId="0" fillId="0" borderId="1" xfId="1" applyNumberFormat="1" applyFont="1" applyBorder="1" applyAlignment="1">
      <alignment horizontal="center"/>
    </xf>
    <xf numFmtId="164" fontId="0" fillId="0" borderId="0" xfId="0" applyNumberFormat="1"/>
    <xf numFmtId="164" fontId="4" fillId="0" borderId="0" xfId="0" applyNumberFormat="1" applyFont="1"/>
    <xf numFmtId="164" fontId="4" fillId="0" borderId="1" xfId="0" applyNumberFormat="1" applyFont="1" applyBorder="1"/>
    <xf numFmtId="164" fontId="4" fillId="0" borderId="2" xfId="0" applyNumberFormat="1" applyFont="1" applyBorder="1"/>
    <xf numFmtId="164" fontId="0" fillId="0" borderId="2" xfId="0" applyNumberFormat="1" applyBorder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4ED6-35E3-4214-8D52-306425652437}">
  <dimension ref="A1:C16"/>
  <sheetViews>
    <sheetView zoomScale="110" zoomScaleNormal="110" workbookViewId="0">
      <selection activeCell="B14" sqref="B14"/>
    </sheetView>
  </sheetViews>
  <sheetFormatPr baseColWidth="10" defaultRowHeight="14.4" x14ac:dyDescent="0.3"/>
  <cols>
    <col min="1" max="1" width="50.6640625" customWidth="1"/>
    <col min="2" max="3" width="14.5546875" customWidth="1"/>
  </cols>
  <sheetData>
    <row r="1" spans="1:3" x14ac:dyDescent="0.3">
      <c r="A1" s="10" t="s">
        <v>13</v>
      </c>
      <c r="B1" s="10"/>
      <c r="C1" s="10"/>
    </row>
    <row r="2" spans="1:3" x14ac:dyDescent="0.3">
      <c r="A2" t="s">
        <v>14</v>
      </c>
      <c r="B2" s="6">
        <v>0</v>
      </c>
      <c r="C2" s="6">
        <v>5000000</v>
      </c>
    </row>
    <row r="3" spans="1:3" x14ac:dyDescent="0.3">
      <c r="A3" t="s">
        <v>15</v>
      </c>
      <c r="B3" s="6"/>
      <c r="C3" s="6"/>
    </row>
    <row r="4" spans="1:3" x14ac:dyDescent="0.3">
      <c r="A4" t="s">
        <v>16</v>
      </c>
      <c r="B4" s="6">
        <v>-800000</v>
      </c>
      <c r="C4" s="6"/>
    </row>
    <row r="5" spans="1:3" x14ac:dyDescent="0.3">
      <c r="A5" t="s">
        <v>17</v>
      </c>
      <c r="B5" s="6">
        <v>500000</v>
      </c>
      <c r="C5" s="6"/>
    </row>
    <row r="6" spans="1:3" x14ac:dyDescent="0.3">
      <c r="A6" t="s">
        <v>18</v>
      </c>
      <c r="B6" s="7">
        <v>600000</v>
      </c>
      <c r="C6" s="7">
        <f>SUM(B4:B6)</f>
        <v>300000</v>
      </c>
    </row>
    <row r="7" spans="1:3" x14ac:dyDescent="0.3">
      <c r="A7" t="s">
        <v>19</v>
      </c>
      <c r="B7" s="6"/>
      <c r="C7" s="6">
        <f>C2+C6</f>
        <v>5300000</v>
      </c>
    </row>
    <row r="8" spans="1:3" x14ac:dyDescent="0.3">
      <c r="A8" t="s">
        <v>20</v>
      </c>
      <c r="B8" s="6"/>
      <c r="C8" s="7">
        <f>-0.05*C7</f>
        <v>-265000</v>
      </c>
    </row>
    <row r="9" spans="1:3" x14ac:dyDescent="0.3">
      <c r="A9" t="s">
        <v>21</v>
      </c>
      <c r="B9" s="6"/>
      <c r="C9" s="6">
        <f>C8+C7</f>
        <v>5035000</v>
      </c>
    </row>
    <row r="10" spans="1:3" x14ac:dyDescent="0.3">
      <c r="A10" t="s">
        <v>22</v>
      </c>
      <c r="B10" s="6"/>
      <c r="C10" s="6">
        <f>0.1*C9</f>
        <v>503500</v>
      </c>
    </row>
    <row r="11" spans="1:3" ht="15" thickBot="1" x14ac:dyDescent="0.35">
      <c r="A11" t="s">
        <v>23</v>
      </c>
      <c r="B11" s="6"/>
      <c r="C11" s="8">
        <f>C10+C9</f>
        <v>5538500</v>
      </c>
    </row>
    <row r="12" spans="1:3" ht="15" thickTop="1" x14ac:dyDescent="0.3">
      <c r="B12" s="6"/>
      <c r="C12" s="6"/>
    </row>
    <row r="13" spans="1:3" x14ac:dyDescent="0.3">
      <c r="B13" s="6"/>
      <c r="C13" s="6"/>
    </row>
    <row r="14" spans="1:3" x14ac:dyDescent="0.3">
      <c r="B14" s="5"/>
      <c r="C14" s="5"/>
    </row>
    <row r="15" spans="1:3" x14ac:dyDescent="0.3">
      <c r="B15" s="5"/>
      <c r="C15" s="5"/>
    </row>
    <row r="16" spans="1:3" x14ac:dyDescent="0.3">
      <c r="B16" s="5"/>
      <c r="C16" s="5"/>
    </row>
  </sheetData>
  <mergeCells count="1">
    <mergeCell ref="A1:C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A153-430E-4DA0-B074-2582A93D5E54}">
  <dimension ref="A1:D21"/>
  <sheetViews>
    <sheetView tabSelected="1" zoomScaleNormal="100" workbookViewId="0">
      <selection activeCell="B25" sqref="B25"/>
    </sheetView>
  </sheetViews>
  <sheetFormatPr baseColWidth="10" defaultRowHeight="14.4" x14ac:dyDescent="0.3"/>
  <cols>
    <col min="1" max="1" width="22.33203125" customWidth="1"/>
    <col min="2" max="2" width="15.33203125" customWidth="1"/>
    <col min="3" max="3" width="16.88671875" customWidth="1"/>
    <col min="4" max="4" width="18" customWidth="1"/>
  </cols>
  <sheetData>
    <row r="1" spans="1:4" x14ac:dyDescent="0.3">
      <c r="B1" s="1">
        <v>2024</v>
      </c>
      <c r="C1" s="1" t="s">
        <v>24</v>
      </c>
      <c r="D1" s="1" t="s">
        <v>25</v>
      </c>
    </row>
    <row r="2" spans="1:4" x14ac:dyDescent="0.3">
      <c r="A2" t="s">
        <v>0</v>
      </c>
      <c r="B2" s="2">
        <v>0.08</v>
      </c>
      <c r="C2" s="5">
        <v>11070000</v>
      </c>
      <c r="D2" s="5">
        <f>C2*B2</f>
        <v>885600</v>
      </c>
    </row>
    <row r="3" spans="1:4" x14ac:dyDescent="0.3">
      <c r="A3" t="s">
        <v>1</v>
      </c>
      <c r="B3" s="2">
        <v>0.09</v>
      </c>
      <c r="C3" s="5">
        <v>11070000</v>
      </c>
      <c r="D3" s="5">
        <f t="shared" ref="D3:D13" si="0">C3*B3</f>
        <v>996300</v>
      </c>
    </row>
    <row r="4" spans="1:4" x14ac:dyDescent="0.3">
      <c r="A4" t="s">
        <v>2</v>
      </c>
      <c r="B4" s="2">
        <v>0.1</v>
      </c>
      <c r="C4" s="5">
        <v>11070000</v>
      </c>
      <c r="D4" s="5">
        <f t="shared" si="0"/>
        <v>1107000</v>
      </c>
    </row>
    <row r="5" spans="1:4" x14ac:dyDescent="0.3">
      <c r="A5" t="s">
        <v>3</v>
      </c>
      <c r="B5" s="2">
        <v>0.11</v>
      </c>
      <c r="C5" s="5">
        <v>11070000</v>
      </c>
      <c r="D5" s="5">
        <f t="shared" si="0"/>
        <v>1217700</v>
      </c>
    </row>
    <row r="6" spans="1:4" x14ac:dyDescent="0.3">
      <c r="A6" t="s">
        <v>4</v>
      </c>
      <c r="B6" s="2">
        <v>7.0000000000000007E-2</v>
      </c>
      <c r="C6" s="5">
        <v>11070000</v>
      </c>
      <c r="D6" s="5">
        <f t="shared" si="0"/>
        <v>774900.00000000012</v>
      </c>
    </row>
    <row r="7" spans="1:4" x14ac:dyDescent="0.3">
      <c r="A7" t="s">
        <v>5</v>
      </c>
      <c r="B7" s="2">
        <v>0.06</v>
      </c>
      <c r="C7" s="5">
        <v>11070000</v>
      </c>
      <c r="D7" s="5">
        <f t="shared" si="0"/>
        <v>664200</v>
      </c>
    </row>
    <row r="8" spans="1:4" x14ac:dyDescent="0.3">
      <c r="A8" t="s">
        <v>6</v>
      </c>
      <c r="B8" s="2">
        <v>0.05</v>
      </c>
      <c r="C8" s="5">
        <v>11070000</v>
      </c>
      <c r="D8" s="5">
        <f t="shared" si="0"/>
        <v>553500</v>
      </c>
    </row>
    <row r="9" spans="1:4" x14ac:dyDescent="0.3">
      <c r="A9" t="s">
        <v>7</v>
      </c>
      <c r="B9" s="2">
        <v>0.09</v>
      </c>
      <c r="C9" s="5">
        <v>11070000</v>
      </c>
      <c r="D9" s="5">
        <f t="shared" si="0"/>
        <v>996300</v>
      </c>
    </row>
    <row r="10" spans="1:4" x14ac:dyDescent="0.3">
      <c r="A10" t="s">
        <v>8</v>
      </c>
      <c r="B10" s="2">
        <v>0.115</v>
      </c>
      <c r="C10" s="5">
        <v>11070000</v>
      </c>
      <c r="D10" s="5">
        <f t="shared" si="0"/>
        <v>1273050</v>
      </c>
    </row>
    <row r="11" spans="1:4" x14ac:dyDescent="0.3">
      <c r="A11" t="s">
        <v>9</v>
      </c>
      <c r="B11" s="2">
        <v>8.4000000000000005E-2</v>
      </c>
      <c r="C11" s="5">
        <v>11070000</v>
      </c>
      <c r="D11" s="5">
        <f t="shared" si="0"/>
        <v>929880</v>
      </c>
    </row>
    <row r="12" spans="1:4" x14ac:dyDescent="0.3">
      <c r="A12" t="s">
        <v>10</v>
      </c>
      <c r="B12" s="2">
        <v>0.05</v>
      </c>
      <c r="C12" s="5">
        <v>11070000</v>
      </c>
      <c r="D12" s="5">
        <f t="shared" si="0"/>
        <v>553500</v>
      </c>
    </row>
    <row r="13" spans="1:4" x14ac:dyDescent="0.3">
      <c r="A13" t="s">
        <v>11</v>
      </c>
      <c r="B13" s="4">
        <v>0.10100000000000001</v>
      </c>
      <c r="C13" s="5">
        <v>11070000</v>
      </c>
      <c r="D13" s="5">
        <f t="shared" si="0"/>
        <v>1118070</v>
      </c>
    </row>
    <row r="14" spans="1:4" ht="15" thickBot="1" x14ac:dyDescent="0.35">
      <c r="A14" t="s">
        <v>12</v>
      </c>
      <c r="B14" s="3">
        <f>SUM(B2:B13)</f>
        <v>1</v>
      </c>
      <c r="C14" s="5"/>
      <c r="D14" s="9">
        <f>SUM(D2:D13)</f>
        <v>11070000</v>
      </c>
    </row>
    <row r="15" spans="1:4" ht="15" thickTop="1" x14ac:dyDescent="0.3"/>
    <row r="21" spans="1:2" x14ac:dyDescent="0.3">
      <c r="A21" t="s">
        <v>27</v>
      </c>
      <c r="B21" t="s">
        <v>26</v>
      </c>
    </row>
  </sheetData>
  <phoneticPr fontId="3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Presupuesto de Ventas</vt:lpstr>
      <vt:lpstr>Proyección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MARIO DANIEL SAJVIN GOMEZ</cp:lastModifiedBy>
  <cp:lastPrinted>2023-02-01T01:35:13Z</cp:lastPrinted>
  <dcterms:created xsi:type="dcterms:W3CDTF">2021-02-03T00:41:02Z</dcterms:created>
  <dcterms:modified xsi:type="dcterms:W3CDTF">2025-02-26T16:39:32Z</dcterms:modified>
</cp:coreProperties>
</file>