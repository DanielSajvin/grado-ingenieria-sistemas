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jvn\Desktop\Personal\URL\Fundamentos de administración y análisis financiero\Examen Final\"/>
    </mc:Choice>
  </mc:AlternateContent>
  <xr:revisionPtr revIDLastSave="0" documentId="8_{BFC9FB35-FDB4-4DB2-B849-CACC13F7E0FF}" xr6:coauthVersionLast="47" xr6:coauthVersionMax="47" xr10:uidLastSave="{00000000-0000-0000-0000-000000000000}"/>
  <bookViews>
    <workbookView xWindow="-120" yWindow="-120" windowWidth="29040" windowHeight="16440" xr2:uid="{83A61E49-5697-480C-9F1F-4E6F553584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1" l="1"/>
  <c r="C63" i="1"/>
  <c r="C58" i="1"/>
  <c r="B59" i="1"/>
  <c r="B58" i="1"/>
  <c r="A50" i="1"/>
  <c r="C46" i="1"/>
  <c r="C31" i="1"/>
  <c r="D29" i="1"/>
  <c r="C29" i="1"/>
  <c r="B30" i="1"/>
  <c r="B29" i="1"/>
  <c r="E27" i="1"/>
  <c r="E26" i="1"/>
  <c r="E25" i="1"/>
  <c r="E24" i="1"/>
  <c r="E23" i="1"/>
  <c r="E22" i="1"/>
  <c r="D22" i="1" a="1"/>
  <c r="D22" i="1" s="1"/>
  <c r="C27" i="1"/>
  <c r="C26" i="1"/>
  <c r="C25" i="1"/>
  <c r="C24" i="1"/>
  <c r="C23" i="1"/>
  <c r="C22" i="1"/>
  <c r="C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<sst xmlns="http://schemas.openxmlformats.org/spreadsheetml/2006/main" count="30" uniqueCount="28">
  <si>
    <t xml:space="preserve">Ejercicio 1 </t>
  </si>
  <si>
    <t>Cálculo VPN (Valor Presente Neto)</t>
  </si>
  <si>
    <t>Año</t>
  </si>
  <si>
    <t>Monto</t>
  </si>
  <si>
    <t>VPN</t>
  </si>
  <si>
    <t>Cálculo Periodo de Recuperación Descontado (PRD)</t>
  </si>
  <si>
    <t>Período (n) Años</t>
  </si>
  <si>
    <t>Flujo de Caja</t>
  </si>
  <si>
    <t>fn: fn/(1+r)^n</t>
  </si>
  <si>
    <t>Flujo Descontado</t>
  </si>
  <si>
    <t xml:space="preserve">Acumulado </t>
  </si>
  <si>
    <t>Recuperación en 5 años</t>
  </si>
  <si>
    <t>Meses</t>
  </si>
  <si>
    <t>11 meses</t>
  </si>
  <si>
    <t>Días</t>
  </si>
  <si>
    <t>0.55*30</t>
  </si>
  <si>
    <t>PRD, 5 años, 11 meses y 17 días</t>
  </si>
  <si>
    <t xml:space="preserve">Ejercicio 3 </t>
  </si>
  <si>
    <t xml:space="preserve">VPN esperado </t>
  </si>
  <si>
    <t>Auge</t>
  </si>
  <si>
    <t>Normal</t>
  </si>
  <si>
    <t>Recesión</t>
  </si>
  <si>
    <t>VPN esperado =</t>
  </si>
  <si>
    <t>Probabilidad</t>
  </si>
  <si>
    <t>Economía</t>
  </si>
  <si>
    <t>Desviación Estándar</t>
  </si>
  <si>
    <t>Coeficiente de Variación</t>
  </si>
  <si>
    <t>CV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</si>
</sst>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Q&quot;#,##0.00"/>
    <numFmt numFmtId="175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" fontId="0" fillId="0" borderId="0" xfId="0" applyNumberFormat="1"/>
    <xf numFmtId="169" fontId="0" fillId="0" borderId="0" xfId="0" applyNumberFormat="1"/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169" fontId="0" fillId="0" borderId="0" xfId="0" applyNumberFormat="1" applyAlignment="1">
      <alignment horizontal="left" vertical="center"/>
    </xf>
    <xf numFmtId="175" fontId="0" fillId="0" borderId="0" xfId="0" applyNumberFormat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/>
    <xf numFmtId="16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1</xdr:row>
      <xdr:rowOff>133351</xdr:rowOff>
    </xdr:from>
    <xdr:to>
      <xdr:col>8</xdr:col>
      <xdr:colOff>328814</xdr:colOff>
      <xdr:row>5</xdr:row>
      <xdr:rowOff>104201</xdr:rowOff>
    </xdr:to>
    <xdr:pic>
      <xdr:nvPicPr>
        <xdr:cNvPr id="2" name="Marcador de contenido 3">
          <a:extLst>
            <a:ext uri="{FF2B5EF4-FFF2-40B4-BE49-F238E27FC236}">
              <a16:creationId xmlns:a16="http://schemas.microsoft.com/office/drawing/2014/main" id="{936ADE4E-B17A-38E7-6E69-13A511A48658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323851"/>
          <a:ext cx="4100714" cy="732850"/>
        </a:xfrm>
        <a:prstGeom prst="rect">
          <a:avLst/>
        </a:prstGeom>
      </xdr:spPr>
    </xdr:pic>
    <xdr:clientData/>
  </xdr:twoCellAnchor>
  <xdr:twoCellAnchor editAs="oneCell">
    <xdr:from>
      <xdr:col>1</xdr:col>
      <xdr:colOff>694388</xdr:colOff>
      <xdr:row>35</xdr:row>
      <xdr:rowOff>66675</xdr:rowOff>
    </xdr:from>
    <xdr:to>
      <xdr:col>10</xdr:col>
      <xdr:colOff>20353</xdr:colOff>
      <xdr:row>38</xdr:row>
      <xdr:rowOff>161925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580301-C1D9-8E14-248B-777BC3A41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6388" y="7115175"/>
          <a:ext cx="6412565" cy="666750"/>
        </a:xfrm>
        <a:prstGeom prst="rect">
          <a:avLst/>
        </a:prstGeom>
      </xdr:spPr>
    </xdr:pic>
    <xdr:clientData/>
  </xdr:twoCellAnchor>
  <xdr:twoCellAnchor editAs="oneCell">
    <xdr:from>
      <xdr:col>3</xdr:col>
      <xdr:colOff>476250</xdr:colOff>
      <xdr:row>46</xdr:row>
      <xdr:rowOff>57150</xdr:rowOff>
    </xdr:from>
    <xdr:to>
      <xdr:col>14</xdr:col>
      <xdr:colOff>563391</xdr:colOff>
      <xdr:row>53</xdr:row>
      <xdr:rowOff>4595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C99F44FD-297F-1982-ADAE-27432AE58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33700" y="9391650"/>
          <a:ext cx="8526291" cy="1280945"/>
        </a:xfrm>
        <a:prstGeom prst="rect">
          <a:avLst/>
        </a:prstGeom>
      </xdr:spPr>
    </xdr:pic>
    <xdr:clientData/>
  </xdr:twoCellAnchor>
  <xdr:twoCellAnchor editAs="oneCell">
    <xdr:from>
      <xdr:col>4</xdr:col>
      <xdr:colOff>774544</xdr:colOff>
      <xdr:row>55</xdr:row>
      <xdr:rowOff>19050</xdr:rowOff>
    </xdr:from>
    <xdr:to>
      <xdr:col>11</xdr:col>
      <xdr:colOff>172168</xdr:colOff>
      <xdr:row>59</xdr:row>
      <xdr:rowOff>28575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5DC0C90-D62C-42EE-2168-97DB86E6A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3044" y="11068050"/>
          <a:ext cx="4788774" cy="771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072A-EB04-481E-8EB5-862B39295FB2}">
  <dimension ref="A1:F64"/>
  <sheetViews>
    <sheetView tabSelected="1" workbookViewId="0">
      <selection activeCell="A67" sqref="A67"/>
    </sheetView>
  </sheetViews>
  <sheetFormatPr baseColWidth="10" defaultRowHeight="15" x14ac:dyDescent="0.25"/>
  <cols>
    <col min="1" max="1" width="11.7109375" bestFit="1" customWidth="1"/>
    <col min="2" max="2" width="12.28515625" bestFit="1" customWidth="1"/>
    <col min="3" max="3" width="13.140625" bestFit="1" customWidth="1"/>
    <col min="5" max="5" width="12.28515625" bestFit="1" customWidth="1"/>
  </cols>
  <sheetData>
    <row r="1" spans="1:3" x14ac:dyDescent="0.25">
      <c r="A1" t="s">
        <v>0</v>
      </c>
    </row>
    <row r="3" spans="1:3" x14ac:dyDescent="0.25">
      <c r="A3" t="s">
        <v>1</v>
      </c>
    </row>
    <row r="5" spans="1:3" x14ac:dyDescent="0.25">
      <c r="A5" t="s">
        <v>2</v>
      </c>
      <c r="B5" t="s">
        <v>3</v>
      </c>
    </row>
    <row r="6" spans="1:3" x14ac:dyDescent="0.25">
      <c r="A6">
        <v>0</v>
      </c>
      <c r="B6" s="2">
        <v>-650000</v>
      </c>
    </row>
    <row r="7" spans="1:3" x14ac:dyDescent="0.25">
      <c r="A7">
        <v>1</v>
      </c>
      <c r="B7" s="2">
        <v>75000</v>
      </c>
    </row>
    <row r="8" spans="1:3" x14ac:dyDescent="0.25">
      <c r="A8">
        <v>2</v>
      </c>
      <c r="B8" s="2">
        <v>100000</v>
      </c>
    </row>
    <row r="9" spans="1:3" x14ac:dyDescent="0.25">
      <c r="A9">
        <v>3</v>
      </c>
      <c r="B9" s="2">
        <v>125000</v>
      </c>
    </row>
    <row r="10" spans="1:3" x14ac:dyDescent="0.25">
      <c r="A10">
        <v>4</v>
      </c>
      <c r="B10" s="2">
        <v>150000</v>
      </c>
    </row>
    <row r="11" spans="1:3" x14ac:dyDescent="0.25">
      <c r="A11">
        <v>5</v>
      </c>
      <c r="B11" s="2">
        <v>175000</v>
      </c>
    </row>
    <row r="12" spans="1:3" x14ac:dyDescent="0.25">
      <c r="A12">
        <v>6</v>
      </c>
      <c r="B12" s="2">
        <v>200000</v>
      </c>
    </row>
    <row r="14" spans="1:3" x14ac:dyDescent="0.25">
      <c r="B14" t="s">
        <v>4</v>
      </c>
      <c r="C14" s="2">
        <f>(B6+(B7/(1.06))+(B8/(1.06)^2)+(B9/(1.06)^3)+(B10/(1.06)^4)+(B11/(1.06)^5)+(B12/(1.06)^6))</f>
        <v>5283.1091867919895</v>
      </c>
    </row>
    <row r="17" spans="1:6" x14ac:dyDescent="0.25">
      <c r="A17" t="s">
        <v>5</v>
      </c>
    </row>
    <row r="20" spans="1:6" ht="45" x14ac:dyDescent="0.25">
      <c r="A20" s="9" t="s">
        <v>6</v>
      </c>
      <c r="B20" s="9" t="s">
        <v>7</v>
      </c>
      <c r="C20" s="9" t="s">
        <v>8</v>
      </c>
      <c r="D20" s="9" t="s">
        <v>9</v>
      </c>
      <c r="E20" s="9" t="s">
        <v>10</v>
      </c>
    </row>
    <row r="21" spans="1:6" x14ac:dyDescent="0.25">
      <c r="A21" s="10">
        <v>0</v>
      </c>
      <c r="B21" s="11">
        <v>-650000</v>
      </c>
      <c r="C21" s="12"/>
      <c r="D21" s="12"/>
      <c r="E21" s="13">
        <v>-650000</v>
      </c>
    </row>
    <row r="22" spans="1:6" x14ac:dyDescent="0.25">
      <c r="A22" s="10">
        <v>1</v>
      </c>
      <c r="B22" s="11">
        <v>75000</v>
      </c>
      <c r="C22" s="13">
        <f>B22/1.06</f>
        <v>70754.716981132078</v>
      </c>
      <c r="D22" s="13" cm="1">
        <f t="array" ref="D22:D27">C22:C27</f>
        <v>70754.716981132078</v>
      </c>
      <c r="E22" s="13">
        <f>E21+D22</f>
        <v>-579245.28301886795</v>
      </c>
    </row>
    <row r="23" spans="1:6" x14ac:dyDescent="0.25">
      <c r="A23" s="10">
        <v>2</v>
      </c>
      <c r="B23" s="11">
        <v>100000</v>
      </c>
      <c r="C23" s="13">
        <f>B23/1.06^2</f>
        <v>88999.644001423978</v>
      </c>
      <c r="D23" s="13">
        <v>88999.644001423978</v>
      </c>
      <c r="E23" s="13">
        <f>E22+D23</f>
        <v>-490245.63901744399</v>
      </c>
    </row>
    <row r="24" spans="1:6" x14ac:dyDescent="0.25">
      <c r="A24" s="10">
        <v>3</v>
      </c>
      <c r="B24" s="11">
        <v>125000</v>
      </c>
      <c r="C24" s="13">
        <f>B24/1.06^3</f>
        <v>104952.4103790377</v>
      </c>
      <c r="D24" s="13">
        <v>104952.4103790377</v>
      </c>
      <c r="E24" s="13">
        <f>E23+D24</f>
        <v>-385293.22863840626</v>
      </c>
    </row>
    <row r="25" spans="1:6" x14ac:dyDescent="0.25">
      <c r="A25" s="10">
        <v>4</v>
      </c>
      <c r="B25" s="11">
        <v>150000</v>
      </c>
      <c r="C25" s="13">
        <f>B25/1.06^4</f>
        <v>118814.04948570306</v>
      </c>
      <c r="D25" s="13">
        <v>118814.04948570306</v>
      </c>
      <c r="E25" s="13">
        <f>E24+D25</f>
        <v>-266479.1791527032</v>
      </c>
    </row>
    <row r="26" spans="1:6" x14ac:dyDescent="0.25">
      <c r="A26" s="10">
        <v>5</v>
      </c>
      <c r="B26" s="11">
        <v>175000</v>
      </c>
      <c r="C26" s="13">
        <f>B26/1.06^5</f>
        <v>130770.18025155996</v>
      </c>
      <c r="D26" s="13">
        <v>130770.18025155996</v>
      </c>
      <c r="E26" s="13">
        <f>E25+D26</f>
        <v>-135708.99890114326</v>
      </c>
      <c r="F26" t="s">
        <v>11</v>
      </c>
    </row>
    <row r="27" spans="1:6" x14ac:dyDescent="0.25">
      <c r="A27" s="10">
        <v>6</v>
      </c>
      <c r="B27" s="11">
        <v>200000</v>
      </c>
      <c r="C27" s="13">
        <f>B27/1.06^6</f>
        <v>140992.10808793525</v>
      </c>
      <c r="D27" s="13">
        <v>140992.10808793525</v>
      </c>
      <c r="E27" s="13">
        <f>E26+D27</f>
        <v>5283.1091867919895</v>
      </c>
    </row>
    <row r="29" spans="1:6" x14ac:dyDescent="0.25">
      <c r="A29" s="6" t="s">
        <v>12</v>
      </c>
      <c r="B29" s="2">
        <f>E26*-1</f>
        <v>135708.99890114326</v>
      </c>
      <c r="C29">
        <f>B29/B30</f>
        <v>0.9625290432320015</v>
      </c>
      <c r="D29">
        <f>C29*12</f>
        <v>11.550348518784018</v>
      </c>
      <c r="E29" t="s">
        <v>13</v>
      </c>
    </row>
    <row r="30" spans="1:6" x14ac:dyDescent="0.25">
      <c r="B30" s="2">
        <f>D27</f>
        <v>140992.10808793525</v>
      </c>
    </row>
    <row r="31" spans="1:6" x14ac:dyDescent="0.25">
      <c r="A31" t="s">
        <v>14</v>
      </c>
      <c r="B31" t="s">
        <v>15</v>
      </c>
      <c r="C31">
        <f>0.55*30</f>
        <v>16.5</v>
      </c>
    </row>
    <row r="33" spans="1:3" x14ac:dyDescent="0.25">
      <c r="B33" t="s">
        <v>16</v>
      </c>
    </row>
    <row r="37" spans="1:3" x14ac:dyDescent="0.25">
      <c r="A37" t="s">
        <v>17</v>
      </c>
    </row>
    <row r="39" spans="1:3" x14ac:dyDescent="0.25">
      <c r="A39" t="s">
        <v>18</v>
      </c>
    </row>
    <row r="41" spans="1:3" x14ac:dyDescent="0.25">
      <c r="A41" s="3" t="s">
        <v>24</v>
      </c>
      <c r="B41" s="3" t="s">
        <v>23</v>
      </c>
      <c r="C41" s="3" t="s">
        <v>4</v>
      </c>
    </row>
    <row r="42" spans="1:3" x14ac:dyDescent="0.25">
      <c r="A42" s="3" t="s">
        <v>19</v>
      </c>
      <c r="B42" s="3">
        <v>0.25</v>
      </c>
      <c r="C42" s="4">
        <v>20000</v>
      </c>
    </row>
    <row r="43" spans="1:3" x14ac:dyDescent="0.25">
      <c r="A43" s="3" t="s">
        <v>20</v>
      </c>
      <c r="B43" s="3">
        <v>0.4</v>
      </c>
      <c r="C43" s="4">
        <v>13500</v>
      </c>
    </row>
    <row r="44" spans="1:3" x14ac:dyDescent="0.25">
      <c r="A44" s="3" t="s">
        <v>21</v>
      </c>
      <c r="B44" s="3">
        <v>0.35</v>
      </c>
      <c r="C44" s="4">
        <v>-4000</v>
      </c>
    </row>
    <row r="46" spans="1:3" ht="30" x14ac:dyDescent="0.25">
      <c r="B46" s="5" t="s">
        <v>22</v>
      </c>
      <c r="C46" s="7">
        <f>(B42*C42)+(B43*C43)+(B44*C44)</f>
        <v>9000</v>
      </c>
    </row>
    <row r="48" spans="1:3" x14ac:dyDescent="0.25">
      <c r="A48" t="s">
        <v>25</v>
      </c>
    </row>
    <row r="50" spans="1:4" x14ac:dyDescent="0.25">
      <c r="A50" s="1">
        <f>SQRT((B42*(C42-C46)^2)+(B43*(C43-C46)^2)+(B44*(C44-C46)^2))</f>
        <v>9874.2088290657503</v>
      </c>
      <c r="B50" t="s">
        <v>25</v>
      </c>
    </row>
    <row r="56" spans="1:4" x14ac:dyDescent="0.25">
      <c r="A56" t="s">
        <v>26</v>
      </c>
    </row>
    <row r="58" spans="1:4" x14ac:dyDescent="0.25">
      <c r="A58" t="s">
        <v>27</v>
      </c>
      <c r="B58" s="2">
        <f>A50</f>
        <v>9874.2088290657503</v>
      </c>
      <c r="C58" s="8">
        <f>B58/B59</f>
        <v>1.0971343143406389</v>
      </c>
    </row>
    <row r="59" spans="1:4" x14ac:dyDescent="0.25">
      <c r="B59" s="2">
        <f>C46</f>
        <v>9000</v>
      </c>
    </row>
    <row r="63" spans="1:4" x14ac:dyDescent="0.25">
      <c r="C63" s="2">
        <f>C46*0.1</f>
        <v>900</v>
      </c>
      <c r="D63" s="2">
        <f>C46-C63</f>
        <v>8100</v>
      </c>
    </row>
    <row r="64" spans="1:4" x14ac:dyDescent="0.25">
      <c r="C64" s="2"/>
      <c r="D64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DANIEL SAJVIN GOMEZ</dc:creator>
  <cp:lastModifiedBy>MARIO DANIEL SAJVIN GOMEZ</cp:lastModifiedBy>
  <dcterms:created xsi:type="dcterms:W3CDTF">2025-05-30T05:04:49Z</dcterms:created>
  <dcterms:modified xsi:type="dcterms:W3CDTF">2025-05-30T05:57:42Z</dcterms:modified>
</cp:coreProperties>
</file>