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Sjvn\Desktop\"/>
    </mc:Choice>
  </mc:AlternateContent>
  <xr:revisionPtr revIDLastSave="0" documentId="8_{66EA89BD-8E7E-4545-BA3F-940E15C9B9D2}" xr6:coauthVersionLast="47" xr6:coauthVersionMax="47" xr10:uidLastSave="{00000000-0000-0000-0000-000000000000}"/>
  <bookViews>
    <workbookView xWindow="-120" yWindow="-120" windowWidth="29040" windowHeight="16440" activeTab="1" xr2:uid="{9E9A0474-B02C-42A1-AAE4-D61141BC353B}"/>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8" i="2" l="1"/>
  <c r="S59" i="2"/>
  <c r="S50" i="2"/>
  <c r="S43" i="2"/>
  <c r="S34" i="2"/>
  <c r="R35" i="2"/>
  <c r="S27" i="2"/>
  <c r="S20" i="2"/>
  <c r="R13" i="2"/>
  <c r="S12" i="2" s="1"/>
  <c r="S6" i="2"/>
  <c r="R65" i="1"/>
  <c r="Q66" i="1"/>
  <c r="R57" i="1"/>
  <c r="Q58" i="1"/>
  <c r="R49" i="1"/>
  <c r="Q50" i="1"/>
  <c r="R42" i="1"/>
  <c r="Q42" i="1"/>
  <c r="R35" i="1"/>
  <c r="R27" i="1"/>
  <c r="R19" i="1"/>
  <c r="Q20" i="1"/>
  <c r="S13" i="1"/>
  <c r="R12" i="1"/>
  <c r="Q14" i="1"/>
  <c r="Q12" i="1"/>
  <c r="R4" i="1"/>
</calcChain>
</file>

<file path=xl/sharedStrings.xml><?xml version="1.0" encoding="utf-8"?>
<sst xmlns="http://schemas.openxmlformats.org/spreadsheetml/2006/main" count="66" uniqueCount="41">
  <si>
    <t>Activo circulante</t>
  </si>
  <si>
    <t>Pasivo circulante</t>
  </si>
  <si>
    <t>La empresa tiene una buena capacidad para pagar sus deudas, ya que por cada quetzal en deuda tiene 4 quetzales en activos circulante para pagar sus dudas</t>
  </si>
  <si>
    <t>Inventario</t>
  </si>
  <si>
    <t>mercaderia</t>
  </si>
  <si>
    <t xml:space="preserve">En el corto plazo la empresa por 1 quetzal de dueda posee la capacidad de pagar 1.97 quetzles </t>
  </si>
  <si>
    <t>Costo de ventas</t>
  </si>
  <si>
    <t>mercadería</t>
  </si>
  <si>
    <t>veces</t>
  </si>
  <si>
    <t xml:space="preserve">La empresa no tiene la capacidad de rotar su inventario al 100% en este período, es decir, que en un año no fue capaz de rotar todo su inventario, lo que explica que el inventario esté muy elevado, porque todo lo que no está vendiendo se está acumulando </t>
  </si>
  <si>
    <t>Cuentas por cobrar</t>
  </si>
  <si>
    <t>Doc. Por cobrar</t>
  </si>
  <si>
    <t>Clientes</t>
  </si>
  <si>
    <t>Ventas anuales</t>
  </si>
  <si>
    <t>días</t>
  </si>
  <si>
    <t xml:space="preserve">Si la empresa extiende un crédito por venta, en promedio tarda 40 días en cobrar, es decir, en ver el ingreso de esa venta </t>
  </si>
  <si>
    <t>Activos fijos netos</t>
  </si>
  <si>
    <t>Ventas netas</t>
  </si>
  <si>
    <t xml:space="preserve">La empresa está sacando buen provecho de sus activos fijos, porque por cada quetzal que tiene invertido en los activos fijos, está generando 3.42 quetzales en ventas </t>
  </si>
  <si>
    <t>Pasivos totales</t>
  </si>
  <si>
    <t>Activos totales</t>
  </si>
  <si>
    <t xml:space="preserve">Mi activo es mayor que las ventas, lo que quiere decir que no estoy utilizando correctamente mis activos para generar ventas, o para este caso en específico se puede culpar a la acumulación de demasiada mercadería </t>
  </si>
  <si>
    <t>Pasivo totales</t>
  </si>
  <si>
    <t>Esto quiere decir que el 18.37% de nuestros activos no son totalmente de nosotros, esto porque fueron financiados por terceros, esto quiere decir también que estamos aprovechando en un 18% el dinero de otros y no el nuestro.</t>
  </si>
  <si>
    <t>Utilidad neta</t>
  </si>
  <si>
    <t>En general es un buen margen de utilidad, sin embargo, para este caso específico se podría ver la parte de proveedores para hacer que la utilidad neta sea mayor</t>
  </si>
  <si>
    <t xml:space="preserve">Activos totales </t>
  </si>
  <si>
    <t>Por cada quetzal que tengo invertido en activos me genera 15% de beneficios o ganancias</t>
  </si>
  <si>
    <t xml:space="preserve">Realmente estoy al margen del promedio y en general el valor es muy bueno, ya que por cada quetzal de deuda tengo la capacidad de 14.80 veces de solventar la deuda </t>
  </si>
  <si>
    <t>Realmente estamos mal, ya que practicamente la competencia está rotando su inventario al doble que nosotros, pueden haber 2 escenarios que ellos verdaderamente estén vendiendo mas y agotando existencias o que nosotros estamos produciendo más de lo que vendemos y no logramos agotar existencias</t>
  </si>
  <si>
    <t xml:space="preserve">Utilidad neta </t>
  </si>
  <si>
    <t>Respecto al promedio estamos igual, es decir, que estamos utilizando nuestros activos de la misma forma que ellos para generar beneficios</t>
  </si>
  <si>
    <t xml:space="preserve">Cuentas por cobrar </t>
  </si>
  <si>
    <t xml:space="preserve">Clientes </t>
  </si>
  <si>
    <t xml:space="preserve">Hay que recortar el tiempo al que extendemos nuestro créditos, ya que la industria les da menos tiempo y nosotros estamos permitiendo que otras personas trabajen más tiempo con nuestro dinero y nosotros estamos tardando en recuperar y volver a invertir </t>
  </si>
  <si>
    <t>Estamos bajos en comparación a la industria y estamos perdiendo la oportunidad de sacarle mayor provecho al dinero de terceros, la industria está aprovechando más el financiamiento y está obteniendo más beneficios de esto</t>
  </si>
  <si>
    <t>Realmente estamos mal porque quiere decir que nuestros activos fijos no estan contribuyendo a generar ventas, esto puede ser porque no se está aprovechando al máximo nuestra maquinaria o que se pudo haber hecho una mala inversión en activos fijos innecesarios</t>
  </si>
  <si>
    <t xml:space="preserve">Pasivo circulante </t>
  </si>
  <si>
    <t xml:space="preserve">Estamos muy bien, porque quiere decir que tenemos más capacidad para cubrir nuestras deudas que los demás, sin embargo tenemos que cuidar que no siga aumentando ya que no es bueno tener demasiada liquidez, ya que no estaría aprovechando el dinero estancado </t>
  </si>
  <si>
    <t xml:space="preserve">Estamos utilizando mal nuestros activos ya que no están contribuyendo a la generación de ventas, una causa de esto puede ser que tenemos demasiado en bancos, es decir, tenemos dinero estancado el cual podriamos invertir en otros proyectos y sacarle provecho </t>
  </si>
  <si>
    <t>Debemos mejorar nuestra utilidad, lo principal es diminuir costos y sacar el máximo provecho de nuestros activos fijos, que ya vimos que nuestra máquinas no están siendo del todo aprovechadas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</si>
</sst>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quot;* #,##0.00_-;\-&quot;Q&quot;* #,##0.00_-;_-&quot;Q&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44" fontId="0" fillId="0" borderId="0" xfId="0" applyNumberFormat="1"/>
    <xf numFmtId="0" fontId="0" fillId="0" borderId="0" xfId="0" applyAlignment="1">
      <alignment horizontal="center" vertical="center"/>
    </xf>
    <xf numFmtId="0" fontId="0" fillId="0" borderId="0" xfId="0" applyAlignment="1">
      <alignment horizontal="center" vertical="center" wrapText="1"/>
    </xf>
    <xf numFmtId="44" fontId="0" fillId="0" borderId="0" xfId="0" applyNumberFormat="1" applyAlignment="1">
      <alignment horizontal="center" vertical="center"/>
    </xf>
    <xf numFmtId="44" fontId="0" fillId="0" borderId="0" xfId="0" applyNumberFormat="1" applyAlignment="1">
      <alignment vertical="center"/>
    </xf>
    <xf numFmtId="2" fontId="0" fillId="0" borderId="0" xfId="0" applyNumberFormat="1" applyAlignment="1">
      <alignment vertical="center"/>
    </xf>
    <xf numFmtId="44" fontId="0" fillId="0" borderId="0" xfId="0" applyNumberFormat="1" applyAlignment="1">
      <alignment horizontal="left" wrapText="1"/>
    </xf>
    <xf numFmtId="0" fontId="0" fillId="0" borderId="0" xfId="0" applyAlignment="1">
      <alignment horizontal="left" wrapText="1"/>
    </xf>
    <xf numFmtId="2" fontId="0" fillId="0" borderId="0" xfId="0" applyNumberFormat="1"/>
    <xf numFmtId="2" fontId="0" fillId="0" borderId="0" xfId="0" applyNumberFormat="1" applyAlignment="1">
      <alignment horizontal="center" vertical="center" wrapText="1"/>
    </xf>
    <xf numFmtId="2" fontId="0" fillId="0" borderId="0" xfId="0" applyNumberFormat="1" applyAlignment="1">
      <alignment horizontal="center" vertical="center"/>
    </xf>
    <xf numFmtId="0" fontId="0" fillId="0" borderId="0" xfId="0"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3" Type="http://schemas.openxmlformats.org/officeDocument/2006/relationships/image" Target="../media/image17.png"/><Relationship Id="rId7" Type="http://schemas.openxmlformats.org/officeDocument/2006/relationships/image" Target="../media/image8.png"/><Relationship Id="rId12" Type="http://schemas.openxmlformats.org/officeDocument/2006/relationships/image" Target="../media/image12.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14.png"/><Relationship Id="rId11" Type="http://schemas.openxmlformats.org/officeDocument/2006/relationships/image" Target="../media/image5.png"/><Relationship Id="rId5" Type="http://schemas.openxmlformats.org/officeDocument/2006/relationships/image" Target="../media/image7.png"/><Relationship Id="rId10" Type="http://schemas.openxmlformats.org/officeDocument/2006/relationships/image" Target="../media/image10.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8</xdr:col>
      <xdr:colOff>353325</xdr:colOff>
      <xdr:row>35</xdr:row>
      <xdr:rowOff>10616</xdr:rowOff>
    </xdr:to>
    <xdr:pic>
      <xdr:nvPicPr>
        <xdr:cNvPr id="86" name="Imagen 85">
          <a:extLst>
            <a:ext uri="{FF2B5EF4-FFF2-40B4-BE49-F238E27FC236}">
              <a16:creationId xmlns:a16="http://schemas.microsoft.com/office/drawing/2014/main" id="{9598062F-6204-B5D5-81A7-602F40A1D9D1}"/>
            </a:ext>
          </a:extLst>
        </xdr:cNvPr>
        <xdr:cNvPicPr>
          <a:picLocks noChangeAspect="1"/>
        </xdr:cNvPicPr>
      </xdr:nvPicPr>
      <xdr:blipFill>
        <a:blip xmlns:r="http://schemas.openxmlformats.org/officeDocument/2006/relationships" r:embed="rId1"/>
        <a:stretch>
          <a:fillRect/>
        </a:stretch>
      </xdr:blipFill>
      <xdr:spPr>
        <a:xfrm>
          <a:off x="0" y="190500"/>
          <a:ext cx="6449325" cy="7821116"/>
        </a:xfrm>
        <a:prstGeom prst="rect">
          <a:avLst/>
        </a:prstGeom>
      </xdr:spPr>
    </xdr:pic>
    <xdr:clientData/>
  </xdr:twoCellAnchor>
  <xdr:twoCellAnchor editAs="oneCell">
    <xdr:from>
      <xdr:col>0</xdr:col>
      <xdr:colOff>85725</xdr:colOff>
      <xdr:row>47</xdr:row>
      <xdr:rowOff>19050</xdr:rowOff>
    </xdr:from>
    <xdr:to>
      <xdr:col>9</xdr:col>
      <xdr:colOff>448683</xdr:colOff>
      <xdr:row>72</xdr:row>
      <xdr:rowOff>996</xdr:rowOff>
    </xdr:to>
    <xdr:pic>
      <xdr:nvPicPr>
        <xdr:cNvPr id="87" name="Imagen 86">
          <a:extLst>
            <a:ext uri="{FF2B5EF4-FFF2-40B4-BE49-F238E27FC236}">
              <a16:creationId xmlns:a16="http://schemas.microsoft.com/office/drawing/2014/main" id="{1F547C67-63E8-5F35-AC0F-397E82189A79}"/>
            </a:ext>
          </a:extLst>
        </xdr:cNvPr>
        <xdr:cNvPicPr>
          <a:picLocks noChangeAspect="1"/>
        </xdr:cNvPicPr>
      </xdr:nvPicPr>
      <xdr:blipFill rotWithShape="1">
        <a:blip xmlns:r="http://schemas.openxmlformats.org/officeDocument/2006/relationships" r:embed="rId2"/>
        <a:srcRect t="25497"/>
        <a:stretch/>
      </xdr:blipFill>
      <xdr:spPr>
        <a:xfrm>
          <a:off x="85725" y="8972550"/>
          <a:ext cx="7220958" cy="5315946"/>
        </a:xfrm>
        <a:prstGeom prst="rect">
          <a:avLst/>
        </a:prstGeom>
      </xdr:spPr>
    </xdr:pic>
    <xdr:clientData/>
  </xdr:twoCellAnchor>
  <xdr:twoCellAnchor editAs="oneCell">
    <xdr:from>
      <xdr:col>2</xdr:col>
      <xdr:colOff>19050</xdr:colOff>
      <xdr:row>44</xdr:row>
      <xdr:rowOff>76200</xdr:rowOff>
    </xdr:from>
    <xdr:to>
      <xdr:col>7</xdr:col>
      <xdr:colOff>162477</xdr:colOff>
      <xdr:row>47</xdr:row>
      <xdr:rowOff>28648</xdr:rowOff>
    </xdr:to>
    <xdr:pic>
      <xdr:nvPicPr>
        <xdr:cNvPr id="88" name="Imagen 87">
          <a:extLst>
            <a:ext uri="{FF2B5EF4-FFF2-40B4-BE49-F238E27FC236}">
              <a16:creationId xmlns:a16="http://schemas.microsoft.com/office/drawing/2014/main" id="{90C2E250-6906-D0DB-F081-84ED29C0A94E}"/>
            </a:ext>
          </a:extLst>
        </xdr:cNvPr>
        <xdr:cNvPicPr>
          <a:picLocks noChangeAspect="1"/>
        </xdr:cNvPicPr>
      </xdr:nvPicPr>
      <xdr:blipFill>
        <a:blip xmlns:r="http://schemas.openxmlformats.org/officeDocument/2006/relationships" r:embed="rId3"/>
        <a:stretch>
          <a:fillRect/>
        </a:stretch>
      </xdr:blipFill>
      <xdr:spPr>
        <a:xfrm>
          <a:off x="1543050" y="8458200"/>
          <a:ext cx="3953427" cy="523948"/>
        </a:xfrm>
        <a:prstGeom prst="rect">
          <a:avLst/>
        </a:prstGeom>
      </xdr:spPr>
    </xdr:pic>
    <xdr:clientData/>
  </xdr:twoCellAnchor>
  <xdr:twoCellAnchor editAs="oneCell">
    <xdr:from>
      <xdr:col>9</xdr:col>
      <xdr:colOff>9525</xdr:colOff>
      <xdr:row>1</xdr:row>
      <xdr:rowOff>28575</xdr:rowOff>
    </xdr:from>
    <xdr:to>
      <xdr:col>12</xdr:col>
      <xdr:colOff>571898</xdr:colOff>
      <xdr:row>9</xdr:row>
      <xdr:rowOff>114578</xdr:rowOff>
    </xdr:to>
    <xdr:pic>
      <xdr:nvPicPr>
        <xdr:cNvPr id="89" name="Imagen 88">
          <a:extLst>
            <a:ext uri="{FF2B5EF4-FFF2-40B4-BE49-F238E27FC236}">
              <a16:creationId xmlns:a16="http://schemas.microsoft.com/office/drawing/2014/main" id="{FA38874A-9BFA-C623-A9B7-E864AA205DFF}"/>
            </a:ext>
          </a:extLst>
        </xdr:cNvPr>
        <xdr:cNvPicPr>
          <a:picLocks noChangeAspect="1"/>
        </xdr:cNvPicPr>
      </xdr:nvPicPr>
      <xdr:blipFill>
        <a:blip xmlns:r="http://schemas.openxmlformats.org/officeDocument/2006/relationships" r:embed="rId4"/>
        <a:stretch>
          <a:fillRect/>
        </a:stretch>
      </xdr:blipFill>
      <xdr:spPr>
        <a:xfrm>
          <a:off x="6867525" y="219075"/>
          <a:ext cx="2848373" cy="1991003"/>
        </a:xfrm>
        <a:prstGeom prst="rect">
          <a:avLst/>
        </a:prstGeom>
      </xdr:spPr>
    </xdr:pic>
    <xdr:clientData/>
  </xdr:twoCellAnchor>
  <xdr:twoCellAnchor editAs="oneCell">
    <xdr:from>
      <xdr:col>14</xdr:col>
      <xdr:colOff>28575</xdr:colOff>
      <xdr:row>1</xdr:row>
      <xdr:rowOff>57150</xdr:rowOff>
    </xdr:from>
    <xdr:to>
      <xdr:col>20</xdr:col>
      <xdr:colOff>353195</xdr:colOff>
      <xdr:row>2</xdr:row>
      <xdr:rowOff>95282</xdr:rowOff>
    </xdr:to>
    <xdr:pic>
      <xdr:nvPicPr>
        <xdr:cNvPr id="90" name="Imagen 89">
          <a:extLst>
            <a:ext uri="{FF2B5EF4-FFF2-40B4-BE49-F238E27FC236}">
              <a16:creationId xmlns:a16="http://schemas.microsoft.com/office/drawing/2014/main" id="{430C9AD9-0DF9-180B-1527-528A2C261AE8}"/>
            </a:ext>
          </a:extLst>
        </xdr:cNvPr>
        <xdr:cNvPicPr>
          <a:picLocks noChangeAspect="1"/>
        </xdr:cNvPicPr>
      </xdr:nvPicPr>
      <xdr:blipFill>
        <a:blip xmlns:r="http://schemas.openxmlformats.org/officeDocument/2006/relationships" r:embed="rId5"/>
        <a:stretch>
          <a:fillRect/>
        </a:stretch>
      </xdr:blipFill>
      <xdr:spPr>
        <a:xfrm>
          <a:off x="10696575" y="247650"/>
          <a:ext cx="5515745" cy="228632"/>
        </a:xfrm>
        <a:prstGeom prst="rect">
          <a:avLst/>
        </a:prstGeom>
      </xdr:spPr>
    </xdr:pic>
    <xdr:clientData/>
  </xdr:twoCellAnchor>
  <xdr:twoCellAnchor editAs="oneCell">
    <xdr:from>
      <xdr:col>14</xdr:col>
      <xdr:colOff>0</xdr:colOff>
      <xdr:row>7</xdr:row>
      <xdr:rowOff>0</xdr:rowOff>
    </xdr:from>
    <xdr:to>
      <xdr:col>21</xdr:col>
      <xdr:colOff>1829926</xdr:colOff>
      <xdr:row>9</xdr:row>
      <xdr:rowOff>152474</xdr:rowOff>
    </xdr:to>
    <xdr:pic>
      <xdr:nvPicPr>
        <xdr:cNvPr id="91" name="Imagen 90">
          <a:extLst>
            <a:ext uri="{FF2B5EF4-FFF2-40B4-BE49-F238E27FC236}">
              <a16:creationId xmlns:a16="http://schemas.microsoft.com/office/drawing/2014/main" id="{75437A91-799D-9C95-7D11-8E0E76898D9E}"/>
            </a:ext>
          </a:extLst>
        </xdr:cNvPr>
        <xdr:cNvPicPr>
          <a:picLocks noChangeAspect="1"/>
        </xdr:cNvPicPr>
      </xdr:nvPicPr>
      <xdr:blipFill>
        <a:blip xmlns:r="http://schemas.openxmlformats.org/officeDocument/2006/relationships" r:embed="rId6"/>
        <a:stretch>
          <a:fillRect/>
        </a:stretch>
      </xdr:blipFill>
      <xdr:spPr>
        <a:xfrm>
          <a:off x="10668000" y="1714500"/>
          <a:ext cx="8068801" cy="533474"/>
        </a:xfrm>
        <a:prstGeom prst="rect">
          <a:avLst/>
        </a:prstGeom>
      </xdr:spPr>
    </xdr:pic>
    <xdr:clientData/>
  </xdr:twoCellAnchor>
  <xdr:twoCellAnchor editAs="oneCell">
    <xdr:from>
      <xdr:col>14</xdr:col>
      <xdr:colOff>0</xdr:colOff>
      <xdr:row>16</xdr:row>
      <xdr:rowOff>0</xdr:rowOff>
    </xdr:from>
    <xdr:to>
      <xdr:col>20</xdr:col>
      <xdr:colOff>419883</xdr:colOff>
      <xdr:row>17</xdr:row>
      <xdr:rowOff>47658</xdr:rowOff>
    </xdr:to>
    <xdr:pic>
      <xdr:nvPicPr>
        <xdr:cNvPr id="92" name="Imagen 91">
          <a:extLst>
            <a:ext uri="{FF2B5EF4-FFF2-40B4-BE49-F238E27FC236}">
              <a16:creationId xmlns:a16="http://schemas.microsoft.com/office/drawing/2014/main" id="{5E6321F6-7374-965D-C053-901C45EB50BF}"/>
            </a:ext>
          </a:extLst>
        </xdr:cNvPr>
        <xdr:cNvPicPr>
          <a:picLocks noChangeAspect="1"/>
        </xdr:cNvPicPr>
      </xdr:nvPicPr>
      <xdr:blipFill>
        <a:blip xmlns:r="http://schemas.openxmlformats.org/officeDocument/2006/relationships" r:embed="rId7"/>
        <a:stretch>
          <a:fillRect/>
        </a:stretch>
      </xdr:blipFill>
      <xdr:spPr>
        <a:xfrm>
          <a:off x="10668000" y="3810000"/>
          <a:ext cx="5611008" cy="238158"/>
        </a:xfrm>
        <a:prstGeom prst="rect">
          <a:avLst/>
        </a:prstGeom>
      </xdr:spPr>
    </xdr:pic>
    <xdr:clientData/>
  </xdr:twoCellAnchor>
  <xdr:twoCellAnchor editAs="oneCell">
    <xdr:from>
      <xdr:col>14</xdr:col>
      <xdr:colOff>28575</xdr:colOff>
      <xdr:row>23</xdr:row>
      <xdr:rowOff>0</xdr:rowOff>
    </xdr:from>
    <xdr:to>
      <xdr:col>21</xdr:col>
      <xdr:colOff>1963291</xdr:colOff>
      <xdr:row>25</xdr:row>
      <xdr:rowOff>47685</xdr:rowOff>
    </xdr:to>
    <xdr:pic>
      <xdr:nvPicPr>
        <xdr:cNvPr id="93" name="Imagen 92">
          <a:extLst>
            <a:ext uri="{FF2B5EF4-FFF2-40B4-BE49-F238E27FC236}">
              <a16:creationId xmlns:a16="http://schemas.microsoft.com/office/drawing/2014/main" id="{AD107D4E-D90C-E4FC-18BC-82DF3DEBFA7C}"/>
            </a:ext>
          </a:extLst>
        </xdr:cNvPr>
        <xdr:cNvPicPr>
          <a:picLocks noChangeAspect="1"/>
        </xdr:cNvPicPr>
      </xdr:nvPicPr>
      <xdr:blipFill>
        <a:blip xmlns:r="http://schemas.openxmlformats.org/officeDocument/2006/relationships" r:embed="rId8"/>
        <a:stretch>
          <a:fillRect/>
        </a:stretch>
      </xdr:blipFill>
      <xdr:spPr>
        <a:xfrm>
          <a:off x="10696575" y="5334000"/>
          <a:ext cx="8173591" cy="428685"/>
        </a:xfrm>
        <a:prstGeom prst="rect">
          <a:avLst/>
        </a:prstGeom>
      </xdr:spPr>
    </xdr:pic>
    <xdr:clientData/>
  </xdr:twoCellAnchor>
  <xdr:twoCellAnchor editAs="oneCell">
    <xdr:from>
      <xdr:col>10</xdr:col>
      <xdr:colOff>265732</xdr:colOff>
      <xdr:row>27</xdr:row>
      <xdr:rowOff>14242</xdr:rowOff>
    </xdr:from>
    <xdr:to>
      <xdr:col>14</xdr:col>
      <xdr:colOff>754128</xdr:colOff>
      <xdr:row>30</xdr:row>
      <xdr:rowOff>161926</xdr:rowOff>
    </xdr:to>
    <xdr:pic>
      <xdr:nvPicPr>
        <xdr:cNvPr id="94" name="Imagen 93">
          <a:extLst>
            <a:ext uri="{FF2B5EF4-FFF2-40B4-BE49-F238E27FC236}">
              <a16:creationId xmlns:a16="http://schemas.microsoft.com/office/drawing/2014/main" id="{99D0243D-0D5B-AF16-57C0-923084AAC692}"/>
            </a:ext>
          </a:extLst>
        </xdr:cNvPr>
        <xdr:cNvPicPr>
          <a:picLocks noChangeAspect="1"/>
        </xdr:cNvPicPr>
      </xdr:nvPicPr>
      <xdr:blipFill>
        <a:blip xmlns:r="http://schemas.openxmlformats.org/officeDocument/2006/relationships" r:embed="rId9"/>
        <a:stretch>
          <a:fillRect/>
        </a:stretch>
      </xdr:blipFill>
      <xdr:spPr>
        <a:xfrm>
          <a:off x="7885732" y="6300742"/>
          <a:ext cx="3536396" cy="909684"/>
        </a:xfrm>
        <a:prstGeom prst="rect">
          <a:avLst/>
        </a:prstGeom>
      </xdr:spPr>
    </xdr:pic>
    <xdr:clientData/>
  </xdr:twoCellAnchor>
  <xdr:twoCellAnchor editAs="oneCell">
    <xdr:from>
      <xdr:col>14</xdr:col>
      <xdr:colOff>0</xdr:colOff>
      <xdr:row>32</xdr:row>
      <xdr:rowOff>0</xdr:rowOff>
    </xdr:from>
    <xdr:to>
      <xdr:col>20</xdr:col>
      <xdr:colOff>134093</xdr:colOff>
      <xdr:row>33</xdr:row>
      <xdr:rowOff>28606</xdr:rowOff>
    </xdr:to>
    <xdr:pic>
      <xdr:nvPicPr>
        <xdr:cNvPr id="95" name="Imagen 94">
          <a:extLst>
            <a:ext uri="{FF2B5EF4-FFF2-40B4-BE49-F238E27FC236}">
              <a16:creationId xmlns:a16="http://schemas.microsoft.com/office/drawing/2014/main" id="{46739034-7F42-5033-03F2-39D7ECB00B4D}"/>
            </a:ext>
          </a:extLst>
        </xdr:cNvPr>
        <xdr:cNvPicPr>
          <a:picLocks noChangeAspect="1"/>
        </xdr:cNvPicPr>
      </xdr:nvPicPr>
      <xdr:blipFill>
        <a:blip xmlns:r="http://schemas.openxmlformats.org/officeDocument/2006/relationships" r:embed="rId10"/>
        <a:stretch>
          <a:fillRect/>
        </a:stretch>
      </xdr:blipFill>
      <xdr:spPr>
        <a:xfrm>
          <a:off x="10668000" y="7429500"/>
          <a:ext cx="5325218" cy="219106"/>
        </a:xfrm>
        <a:prstGeom prst="rect">
          <a:avLst/>
        </a:prstGeom>
      </xdr:spPr>
    </xdr:pic>
    <xdr:clientData/>
  </xdr:twoCellAnchor>
  <xdr:twoCellAnchor editAs="oneCell">
    <xdr:from>
      <xdr:col>14</xdr:col>
      <xdr:colOff>57150</xdr:colOff>
      <xdr:row>46</xdr:row>
      <xdr:rowOff>76200</xdr:rowOff>
    </xdr:from>
    <xdr:to>
      <xdr:col>20</xdr:col>
      <xdr:colOff>772349</xdr:colOff>
      <xdr:row>47</xdr:row>
      <xdr:rowOff>123858</xdr:rowOff>
    </xdr:to>
    <xdr:pic>
      <xdr:nvPicPr>
        <xdr:cNvPr id="96" name="Imagen 95">
          <a:extLst>
            <a:ext uri="{FF2B5EF4-FFF2-40B4-BE49-F238E27FC236}">
              <a16:creationId xmlns:a16="http://schemas.microsoft.com/office/drawing/2014/main" id="{7F4F0BE7-D272-8E2A-0E9F-7F9B652BE7FB}"/>
            </a:ext>
          </a:extLst>
        </xdr:cNvPr>
        <xdr:cNvPicPr>
          <a:picLocks noChangeAspect="1"/>
        </xdr:cNvPicPr>
      </xdr:nvPicPr>
      <xdr:blipFill>
        <a:blip xmlns:r="http://schemas.openxmlformats.org/officeDocument/2006/relationships" r:embed="rId11"/>
        <a:stretch>
          <a:fillRect/>
        </a:stretch>
      </xdr:blipFill>
      <xdr:spPr>
        <a:xfrm>
          <a:off x="10725150" y="10553700"/>
          <a:ext cx="5906324" cy="238158"/>
        </a:xfrm>
        <a:prstGeom prst="rect">
          <a:avLst/>
        </a:prstGeom>
      </xdr:spPr>
    </xdr:pic>
    <xdr:clientData/>
  </xdr:twoCellAnchor>
  <xdr:twoCellAnchor editAs="oneCell">
    <xdr:from>
      <xdr:col>14</xdr:col>
      <xdr:colOff>28575</xdr:colOff>
      <xdr:row>39</xdr:row>
      <xdr:rowOff>47625</xdr:rowOff>
    </xdr:from>
    <xdr:to>
      <xdr:col>20</xdr:col>
      <xdr:colOff>372247</xdr:colOff>
      <xdr:row>41</xdr:row>
      <xdr:rowOff>47</xdr:rowOff>
    </xdr:to>
    <xdr:pic>
      <xdr:nvPicPr>
        <xdr:cNvPr id="97" name="Imagen 96">
          <a:extLst>
            <a:ext uri="{FF2B5EF4-FFF2-40B4-BE49-F238E27FC236}">
              <a16:creationId xmlns:a16="http://schemas.microsoft.com/office/drawing/2014/main" id="{61EB0D91-1A4B-F3C7-FB2F-5010D0F9ECD0}"/>
            </a:ext>
          </a:extLst>
        </xdr:cNvPr>
        <xdr:cNvPicPr>
          <a:picLocks noChangeAspect="1"/>
        </xdr:cNvPicPr>
      </xdr:nvPicPr>
      <xdr:blipFill>
        <a:blip xmlns:r="http://schemas.openxmlformats.org/officeDocument/2006/relationships" r:embed="rId12"/>
        <a:stretch>
          <a:fillRect/>
        </a:stretch>
      </xdr:blipFill>
      <xdr:spPr>
        <a:xfrm>
          <a:off x="10696575" y="9001125"/>
          <a:ext cx="5534797" cy="333422"/>
        </a:xfrm>
        <a:prstGeom prst="rect">
          <a:avLst/>
        </a:prstGeom>
      </xdr:spPr>
    </xdr:pic>
    <xdr:clientData/>
  </xdr:twoCellAnchor>
  <xdr:twoCellAnchor editAs="oneCell">
    <xdr:from>
      <xdr:col>14</xdr:col>
      <xdr:colOff>28575</xdr:colOff>
      <xdr:row>53</xdr:row>
      <xdr:rowOff>114300</xdr:rowOff>
    </xdr:from>
    <xdr:to>
      <xdr:col>19</xdr:col>
      <xdr:colOff>133983</xdr:colOff>
      <xdr:row>55</xdr:row>
      <xdr:rowOff>9564</xdr:rowOff>
    </xdr:to>
    <xdr:pic>
      <xdr:nvPicPr>
        <xdr:cNvPr id="98" name="Imagen 97">
          <a:extLst>
            <a:ext uri="{FF2B5EF4-FFF2-40B4-BE49-F238E27FC236}">
              <a16:creationId xmlns:a16="http://schemas.microsoft.com/office/drawing/2014/main" id="{C63E0E80-7663-81D7-522D-866512755259}"/>
            </a:ext>
          </a:extLst>
        </xdr:cNvPr>
        <xdr:cNvPicPr>
          <a:picLocks noChangeAspect="1"/>
        </xdr:cNvPicPr>
      </xdr:nvPicPr>
      <xdr:blipFill>
        <a:blip xmlns:r="http://schemas.openxmlformats.org/officeDocument/2006/relationships" r:embed="rId13"/>
        <a:stretch>
          <a:fillRect/>
        </a:stretch>
      </xdr:blipFill>
      <xdr:spPr>
        <a:xfrm>
          <a:off x="10696575" y="12306300"/>
          <a:ext cx="4534533" cy="276264"/>
        </a:xfrm>
        <a:prstGeom prst="rect">
          <a:avLst/>
        </a:prstGeom>
      </xdr:spPr>
    </xdr:pic>
    <xdr:clientData/>
  </xdr:twoCellAnchor>
  <xdr:twoCellAnchor editAs="oneCell">
    <xdr:from>
      <xdr:col>14</xdr:col>
      <xdr:colOff>66675</xdr:colOff>
      <xdr:row>62</xdr:row>
      <xdr:rowOff>104775</xdr:rowOff>
    </xdr:from>
    <xdr:to>
      <xdr:col>20</xdr:col>
      <xdr:colOff>696137</xdr:colOff>
      <xdr:row>63</xdr:row>
      <xdr:rowOff>152433</xdr:rowOff>
    </xdr:to>
    <xdr:pic>
      <xdr:nvPicPr>
        <xdr:cNvPr id="99" name="Imagen 98">
          <a:extLst>
            <a:ext uri="{FF2B5EF4-FFF2-40B4-BE49-F238E27FC236}">
              <a16:creationId xmlns:a16="http://schemas.microsoft.com/office/drawing/2014/main" id="{763C22BF-6074-6F56-D5D5-94850DAE8B50}"/>
            </a:ext>
          </a:extLst>
        </xdr:cNvPr>
        <xdr:cNvPicPr>
          <a:picLocks noChangeAspect="1"/>
        </xdr:cNvPicPr>
      </xdr:nvPicPr>
      <xdr:blipFill>
        <a:blip xmlns:r="http://schemas.openxmlformats.org/officeDocument/2006/relationships" r:embed="rId14"/>
        <a:stretch>
          <a:fillRect/>
        </a:stretch>
      </xdr:blipFill>
      <xdr:spPr>
        <a:xfrm>
          <a:off x="10734675" y="14011275"/>
          <a:ext cx="5820587" cy="2381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29430</xdr:colOff>
      <xdr:row>29</xdr:row>
      <xdr:rowOff>96247</xdr:rowOff>
    </xdr:to>
    <xdr:pic>
      <xdr:nvPicPr>
        <xdr:cNvPr id="2" name="Imagen 1">
          <a:extLst>
            <a:ext uri="{FF2B5EF4-FFF2-40B4-BE49-F238E27FC236}">
              <a16:creationId xmlns:a16="http://schemas.microsoft.com/office/drawing/2014/main" id="{BE6661B6-6920-8E0A-06EF-62DBB85C2ABE}"/>
            </a:ext>
          </a:extLst>
        </xdr:cNvPr>
        <xdr:cNvPicPr>
          <a:picLocks noChangeAspect="1"/>
        </xdr:cNvPicPr>
      </xdr:nvPicPr>
      <xdr:blipFill>
        <a:blip xmlns:r="http://schemas.openxmlformats.org/officeDocument/2006/relationships" r:embed="rId1"/>
        <a:stretch>
          <a:fillRect/>
        </a:stretch>
      </xdr:blipFill>
      <xdr:spPr>
        <a:xfrm>
          <a:off x="0" y="0"/>
          <a:ext cx="6125430" cy="7144747"/>
        </a:xfrm>
        <a:prstGeom prst="rect">
          <a:avLst/>
        </a:prstGeom>
      </xdr:spPr>
    </xdr:pic>
    <xdr:clientData/>
  </xdr:twoCellAnchor>
  <xdr:twoCellAnchor editAs="oneCell">
    <xdr:from>
      <xdr:col>1</xdr:col>
      <xdr:colOff>533400</xdr:colOff>
      <xdr:row>35</xdr:row>
      <xdr:rowOff>38100</xdr:rowOff>
    </xdr:from>
    <xdr:to>
      <xdr:col>9</xdr:col>
      <xdr:colOff>334198</xdr:colOff>
      <xdr:row>69</xdr:row>
      <xdr:rowOff>67796</xdr:rowOff>
    </xdr:to>
    <xdr:pic>
      <xdr:nvPicPr>
        <xdr:cNvPr id="3" name="Imagen 2">
          <a:extLst>
            <a:ext uri="{FF2B5EF4-FFF2-40B4-BE49-F238E27FC236}">
              <a16:creationId xmlns:a16="http://schemas.microsoft.com/office/drawing/2014/main" id="{B88495EA-8B89-C6D6-57AD-D25893CC603B}"/>
            </a:ext>
          </a:extLst>
        </xdr:cNvPr>
        <xdr:cNvPicPr>
          <a:picLocks noChangeAspect="1"/>
        </xdr:cNvPicPr>
      </xdr:nvPicPr>
      <xdr:blipFill>
        <a:blip xmlns:r="http://schemas.openxmlformats.org/officeDocument/2006/relationships" r:embed="rId2"/>
        <a:stretch>
          <a:fillRect/>
        </a:stretch>
      </xdr:blipFill>
      <xdr:spPr>
        <a:xfrm>
          <a:off x="1295400" y="8610600"/>
          <a:ext cx="5896798" cy="8030696"/>
        </a:xfrm>
        <a:prstGeom prst="rect">
          <a:avLst/>
        </a:prstGeom>
      </xdr:spPr>
    </xdr:pic>
    <xdr:clientData/>
  </xdr:twoCellAnchor>
  <xdr:twoCellAnchor editAs="oneCell">
    <xdr:from>
      <xdr:col>9</xdr:col>
      <xdr:colOff>9525</xdr:colOff>
      <xdr:row>1</xdr:row>
      <xdr:rowOff>66675</xdr:rowOff>
    </xdr:from>
    <xdr:to>
      <xdr:col>13</xdr:col>
      <xdr:colOff>482700</xdr:colOff>
      <xdr:row>7</xdr:row>
      <xdr:rowOff>0</xdr:rowOff>
    </xdr:to>
    <xdr:pic>
      <xdr:nvPicPr>
        <xdr:cNvPr id="4" name="Imagen 3">
          <a:extLst>
            <a:ext uri="{FF2B5EF4-FFF2-40B4-BE49-F238E27FC236}">
              <a16:creationId xmlns:a16="http://schemas.microsoft.com/office/drawing/2014/main" id="{636D2A08-0E6E-535B-B339-122EEE74F293}"/>
            </a:ext>
          </a:extLst>
        </xdr:cNvPr>
        <xdr:cNvPicPr>
          <a:picLocks noChangeAspect="1"/>
        </xdr:cNvPicPr>
      </xdr:nvPicPr>
      <xdr:blipFill>
        <a:blip xmlns:r="http://schemas.openxmlformats.org/officeDocument/2006/relationships" r:embed="rId3"/>
        <a:stretch>
          <a:fillRect/>
        </a:stretch>
      </xdr:blipFill>
      <xdr:spPr>
        <a:xfrm>
          <a:off x="6867525" y="257175"/>
          <a:ext cx="3521175" cy="1266825"/>
        </a:xfrm>
        <a:prstGeom prst="rect">
          <a:avLst/>
        </a:prstGeom>
      </xdr:spPr>
    </xdr:pic>
    <xdr:clientData/>
  </xdr:twoCellAnchor>
  <xdr:twoCellAnchor editAs="oneCell">
    <xdr:from>
      <xdr:col>14</xdr:col>
      <xdr:colOff>9525</xdr:colOff>
      <xdr:row>1</xdr:row>
      <xdr:rowOff>57150</xdr:rowOff>
    </xdr:from>
    <xdr:to>
      <xdr:col>24</xdr:col>
      <xdr:colOff>144001</xdr:colOff>
      <xdr:row>4</xdr:row>
      <xdr:rowOff>19124</xdr:rowOff>
    </xdr:to>
    <xdr:pic>
      <xdr:nvPicPr>
        <xdr:cNvPr id="5" name="Imagen 4">
          <a:extLst>
            <a:ext uri="{FF2B5EF4-FFF2-40B4-BE49-F238E27FC236}">
              <a16:creationId xmlns:a16="http://schemas.microsoft.com/office/drawing/2014/main" id="{FA4F7902-8FDB-4C47-9304-962096F7611D}"/>
            </a:ext>
          </a:extLst>
        </xdr:cNvPr>
        <xdr:cNvPicPr>
          <a:picLocks noChangeAspect="1"/>
        </xdr:cNvPicPr>
      </xdr:nvPicPr>
      <xdr:blipFill>
        <a:blip xmlns:r="http://schemas.openxmlformats.org/officeDocument/2006/relationships" r:embed="rId4"/>
        <a:stretch>
          <a:fillRect/>
        </a:stretch>
      </xdr:blipFill>
      <xdr:spPr>
        <a:xfrm>
          <a:off x="10677525" y="247650"/>
          <a:ext cx="8068801" cy="533474"/>
        </a:xfrm>
        <a:prstGeom prst="rect">
          <a:avLst/>
        </a:prstGeom>
      </xdr:spPr>
    </xdr:pic>
    <xdr:clientData/>
  </xdr:twoCellAnchor>
  <xdr:twoCellAnchor editAs="oneCell">
    <xdr:from>
      <xdr:col>13</xdr:col>
      <xdr:colOff>676275</xdr:colOff>
      <xdr:row>9</xdr:row>
      <xdr:rowOff>66675</xdr:rowOff>
    </xdr:from>
    <xdr:to>
      <xdr:col>20</xdr:col>
      <xdr:colOff>638958</xdr:colOff>
      <xdr:row>10</xdr:row>
      <xdr:rowOff>114333</xdr:rowOff>
    </xdr:to>
    <xdr:pic>
      <xdr:nvPicPr>
        <xdr:cNvPr id="6" name="Imagen 5">
          <a:extLst>
            <a:ext uri="{FF2B5EF4-FFF2-40B4-BE49-F238E27FC236}">
              <a16:creationId xmlns:a16="http://schemas.microsoft.com/office/drawing/2014/main" id="{E9055ED5-94E5-4324-9C31-35E7407933A8}"/>
            </a:ext>
          </a:extLst>
        </xdr:cNvPr>
        <xdr:cNvPicPr>
          <a:picLocks noChangeAspect="1"/>
        </xdr:cNvPicPr>
      </xdr:nvPicPr>
      <xdr:blipFill>
        <a:blip xmlns:r="http://schemas.openxmlformats.org/officeDocument/2006/relationships" r:embed="rId5"/>
        <a:stretch>
          <a:fillRect/>
        </a:stretch>
      </xdr:blipFill>
      <xdr:spPr>
        <a:xfrm>
          <a:off x="10582275" y="2162175"/>
          <a:ext cx="5611008" cy="238158"/>
        </a:xfrm>
        <a:prstGeom prst="rect">
          <a:avLst/>
        </a:prstGeom>
      </xdr:spPr>
    </xdr:pic>
    <xdr:clientData/>
  </xdr:twoCellAnchor>
  <xdr:twoCellAnchor editAs="oneCell">
    <xdr:from>
      <xdr:col>14</xdr:col>
      <xdr:colOff>28575</xdr:colOff>
      <xdr:row>17</xdr:row>
      <xdr:rowOff>114300</xdr:rowOff>
    </xdr:from>
    <xdr:to>
      <xdr:col>21</xdr:col>
      <xdr:colOff>200837</xdr:colOff>
      <xdr:row>18</xdr:row>
      <xdr:rowOff>161958</xdr:rowOff>
    </xdr:to>
    <xdr:pic>
      <xdr:nvPicPr>
        <xdr:cNvPr id="7" name="Imagen 6">
          <a:extLst>
            <a:ext uri="{FF2B5EF4-FFF2-40B4-BE49-F238E27FC236}">
              <a16:creationId xmlns:a16="http://schemas.microsoft.com/office/drawing/2014/main" id="{37654B0F-48D7-4B95-864E-17AEA32881E5}"/>
            </a:ext>
          </a:extLst>
        </xdr:cNvPr>
        <xdr:cNvPicPr>
          <a:picLocks noChangeAspect="1"/>
        </xdr:cNvPicPr>
      </xdr:nvPicPr>
      <xdr:blipFill>
        <a:blip xmlns:r="http://schemas.openxmlformats.org/officeDocument/2006/relationships" r:embed="rId6"/>
        <a:stretch>
          <a:fillRect/>
        </a:stretch>
      </xdr:blipFill>
      <xdr:spPr>
        <a:xfrm>
          <a:off x="10696575" y="3924300"/>
          <a:ext cx="5820587" cy="238158"/>
        </a:xfrm>
        <a:prstGeom prst="rect">
          <a:avLst/>
        </a:prstGeom>
      </xdr:spPr>
    </xdr:pic>
    <xdr:clientData/>
  </xdr:twoCellAnchor>
  <xdr:twoCellAnchor editAs="oneCell">
    <xdr:from>
      <xdr:col>14</xdr:col>
      <xdr:colOff>0</xdr:colOff>
      <xdr:row>23</xdr:row>
      <xdr:rowOff>0</xdr:rowOff>
    </xdr:from>
    <xdr:to>
      <xdr:col>24</xdr:col>
      <xdr:colOff>239266</xdr:colOff>
      <xdr:row>25</xdr:row>
      <xdr:rowOff>47685</xdr:rowOff>
    </xdr:to>
    <xdr:pic>
      <xdr:nvPicPr>
        <xdr:cNvPr id="8" name="Imagen 7">
          <a:extLst>
            <a:ext uri="{FF2B5EF4-FFF2-40B4-BE49-F238E27FC236}">
              <a16:creationId xmlns:a16="http://schemas.microsoft.com/office/drawing/2014/main" id="{C5E88882-9314-4711-9D42-79BADF7320D6}"/>
            </a:ext>
          </a:extLst>
        </xdr:cNvPr>
        <xdr:cNvPicPr>
          <a:picLocks noChangeAspect="1"/>
        </xdr:cNvPicPr>
      </xdr:nvPicPr>
      <xdr:blipFill>
        <a:blip xmlns:r="http://schemas.openxmlformats.org/officeDocument/2006/relationships" r:embed="rId7"/>
        <a:stretch>
          <a:fillRect/>
        </a:stretch>
      </xdr:blipFill>
      <xdr:spPr>
        <a:xfrm>
          <a:off x="10668000" y="5334000"/>
          <a:ext cx="8173591" cy="428685"/>
        </a:xfrm>
        <a:prstGeom prst="rect">
          <a:avLst/>
        </a:prstGeom>
      </xdr:spPr>
    </xdr:pic>
    <xdr:clientData/>
  </xdr:twoCellAnchor>
  <xdr:twoCellAnchor editAs="oneCell">
    <xdr:from>
      <xdr:col>10</xdr:col>
      <xdr:colOff>200025</xdr:colOff>
      <xdr:row>26</xdr:row>
      <xdr:rowOff>114300</xdr:rowOff>
    </xdr:from>
    <xdr:to>
      <xdr:col>14</xdr:col>
      <xdr:colOff>688421</xdr:colOff>
      <xdr:row>28</xdr:row>
      <xdr:rowOff>261984</xdr:rowOff>
    </xdr:to>
    <xdr:pic>
      <xdr:nvPicPr>
        <xdr:cNvPr id="9" name="Imagen 8">
          <a:extLst>
            <a:ext uri="{FF2B5EF4-FFF2-40B4-BE49-F238E27FC236}">
              <a16:creationId xmlns:a16="http://schemas.microsoft.com/office/drawing/2014/main" id="{3A70B79B-4AE0-47DA-9534-E37E05D791D6}"/>
            </a:ext>
          </a:extLst>
        </xdr:cNvPr>
        <xdr:cNvPicPr>
          <a:picLocks noChangeAspect="1"/>
        </xdr:cNvPicPr>
      </xdr:nvPicPr>
      <xdr:blipFill>
        <a:blip xmlns:r="http://schemas.openxmlformats.org/officeDocument/2006/relationships" r:embed="rId8"/>
        <a:stretch>
          <a:fillRect/>
        </a:stretch>
      </xdr:blipFill>
      <xdr:spPr>
        <a:xfrm>
          <a:off x="7820025" y="6019800"/>
          <a:ext cx="3536396" cy="909684"/>
        </a:xfrm>
        <a:prstGeom prst="rect">
          <a:avLst/>
        </a:prstGeom>
      </xdr:spPr>
    </xdr:pic>
    <xdr:clientData/>
  </xdr:twoCellAnchor>
  <xdr:twoCellAnchor editAs="oneCell">
    <xdr:from>
      <xdr:col>14</xdr:col>
      <xdr:colOff>47625</xdr:colOff>
      <xdr:row>31</xdr:row>
      <xdr:rowOff>76200</xdr:rowOff>
    </xdr:from>
    <xdr:to>
      <xdr:col>21</xdr:col>
      <xdr:colOff>305624</xdr:colOff>
      <xdr:row>32</xdr:row>
      <xdr:rowOff>123858</xdr:rowOff>
    </xdr:to>
    <xdr:pic>
      <xdr:nvPicPr>
        <xdr:cNvPr id="10" name="Imagen 9">
          <a:extLst>
            <a:ext uri="{FF2B5EF4-FFF2-40B4-BE49-F238E27FC236}">
              <a16:creationId xmlns:a16="http://schemas.microsoft.com/office/drawing/2014/main" id="{0F15B641-FAEC-45C5-B4EF-BB4357992CE0}"/>
            </a:ext>
          </a:extLst>
        </xdr:cNvPr>
        <xdr:cNvPicPr>
          <a:picLocks noChangeAspect="1"/>
        </xdr:cNvPicPr>
      </xdr:nvPicPr>
      <xdr:blipFill>
        <a:blip xmlns:r="http://schemas.openxmlformats.org/officeDocument/2006/relationships" r:embed="rId9"/>
        <a:stretch>
          <a:fillRect/>
        </a:stretch>
      </xdr:blipFill>
      <xdr:spPr>
        <a:xfrm>
          <a:off x="10715625" y="7505700"/>
          <a:ext cx="5906324" cy="238158"/>
        </a:xfrm>
        <a:prstGeom prst="rect">
          <a:avLst/>
        </a:prstGeom>
      </xdr:spPr>
    </xdr:pic>
    <xdr:clientData/>
  </xdr:twoCellAnchor>
  <xdr:twoCellAnchor editAs="oneCell">
    <xdr:from>
      <xdr:col>14</xdr:col>
      <xdr:colOff>38100</xdr:colOff>
      <xdr:row>40</xdr:row>
      <xdr:rowOff>76200</xdr:rowOff>
    </xdr:from>
    <xdr:to>
      <xdr:col>20</xdr:col>
      <xdr:colOff>476993</xdr:colOff>
      <xdr:row>41</xdr:row>
      <xdr:rowOff>104806</xdr:rowOff>
    </xdr:to>
    <xdr:pic>
      <xdr:nvPicPr>
        <xdr:cNvPr id="11" name="Imagen 10">
          <a:extLst>
            <a:ext uri="{FF2B5EF4-FFF2-40B4-BE49-F238E27FC236}">
              <a16:creationId xmlns:a16="http://schemas.microsoft.com/office/drawing/2014/main" id="{D43859D1-74A2-462F-B9DE-FBD32A1D2C1D}"/>
            </a:ext>
          </a:extLst>
        </xdr:cNvPr>
        <xdr:cNvPicPr>
          <a:picLocks noChangeAspect="1"/>
        </xdr:cNvPicPr>
      </xdr:nvPicPr>
      <xdr:blipFill>
        <a:blip xmlns:r="http://schemas.openxmlformats.org/officeDocument/2006/relationships" r:embed="rId10"/>
        <a:stretch>
          <a:fillRect/>
        </a:stretch>
      </xdr:blipFill>
      <xdr:spPr>
        <a:xfrm>
          <a:off x="10706100" y="9601200"/>
          <a:ext cx="5325218" cy="219106"/>
        </a:xfrm>
        <a:prstGeom prst="rect">
          <a:avLst/>
        </a:prstGeom>
      </xdr:spPr>
    </xdr:pic>
    <xdr:clientData/>
  </xdr:twoCellAnchor>
  <xdr:twoCellAnchor editAs="oneCell">
    <xdr:from>
      <xdr:col>14</xdr:col>
      <xdr:colOff>57150</xdr:colOff>
      <xdr:row>46</xdr:row>
      <xdr:rowOff>161925</xdr:rowOff>
    </xdr:from>
    <xdr:to>
      <xdr:col>20</xdr:col>
      <xdr:colOff>686570</xdr:colOff>
      <xdr:row>48</xdr:row>
      <xdr:rowOff>9557</xdr:rowOff>
    </xdr:to>
    <xdr:pic>
      <xdr:nvPicPr>
        <xdr:cNvPr id="12" name="Imagen 11">
          <a:extLst>
            <a:ext uri="{FF2B5EF4-FFF2-40B4-BE49-F238E27FC236}">
              <a16:creationId xmlns:a16="http://schemas.microsoft.com/office/drawing/2014/main" id="{C5FFD7C5-3904-4F1C-B9C7-0FB13F96B1B0}"/>
            </a:ext>
          </a:extLst>
        </xdr:cNvPr>
        <xdr:cNvPicPr>
          <a:picLocks noChangeAspect="1"/>
        </xdr:cNvPicPr>
      </xdr:nvPicPr>
      <xdr:blipFill>
        <a:blip xmlns:r="http://schemas.openxmlformats.org/officeDocument/2006/relationships" r:embed="rId11"/>
        <a:stretch>
          <a:fillRect/>
        </a:stretch>
      </xdr:blipFill>
      <xdr:spPr>
        <a:xfrm>
          <a:off x="10725150" y="11210925"/>
          <a:ext cx="5515745" cy="228632"/>
        </a:xfrm>
        <a:prstGeom prst="rect">
          <a:avLst/>
        </a:prstGeom>
      </xdr:spPr>
    </xdr:pic>
    <xdr:clientData/>
  </xdr:twoCellAnchor>
  <xdr:twoCellAnchor editAs="oneCell">
    <xdr:from>
      <xdr:col>14</xdr:col>
      <xdr:colOff>47625</xdr:colOff>
      <xdr:row>55</xdr:row>
      <xdr:rowOff>171450</xdr:rowOff>
    </xdr:from>
    <xdr:to>
      <xdr:col>20</xdr:col>
      <xdr:colOff>696097</xdr:colOff>
      <xdr:row>57</xdr:row>
      <xdr:rowOff>123872</xdr:rowOff>
    </xdr:to>
    <xdr:pic>
      <xdr:nvPicPr>
        <xdr:cNvPr id="13" name="Imagen 12">
          <a:extLst>
            <a:ext uri="{FF2B5EF4-FFF2-40B4-BE49-F238E27FC236}">
              <a16:creationId xmlns:a16="http://schemas.microsoft.com/office/drawing/2014/main" id="{E11BB947-D907-4146-9BD2-1AAA4A5744DE}"/>
            </a:ext>
          </a:extLst>
        </xdr:cNvPr>
        <xdr:cNvPicPr>
          <a:picLocks noChangeAspect="1"/>
        </xdr:cNvPicPr>
      </xdr:nvPicPr>
      <xdr:blipFill>
        <a:blip xmlns:r="http://schemas.openxmlformats.org/officeDocument/2006/relationships" r:embed="rId12"/>
        <a:stretch>
          <a:fillRect/>
        </a:stretch>
      </xdr:blipFill>
      <xdr:spPr>
        <a:xfrm>
          <a:off x="10715625" y="13315950"/>
          <a:ext cx="5534797" cy="333422"/>
        </a:xfrm>
        <a:prstGeom prst="rect">
          <a:avLst/>
        </a:prstGeom>
      </xdr:spPr>
    </xdr:pic>
    <xdr:clientData/>
  </xdr:twoCellAnchor>
  <xdr:twoCellAnchor editAs="oneCell">
    <xdr:from>
      <xdr:col>13</xdr:col>
      <xdr:colOff>752475</xdr:colOff>
      <xdr:row>64</xdr:row>
      <xdr:rowOff>114300</xdr:rowOff>
    </xdr:from>
    <xdr:to>
      <xdr:col>19</xdr:col>
      <xdr:colOff>400683</xdr:colOff>
      <xdr:row>66</xdr:row>
      <xdr:rowOff>9564</xdr:rowOff>
    </xdr:to>
    <xdr:pic>
      <xdr:nvPicPr>
        <xdr:cNvPr id="14" name="Imagen 13">
          <a:extLst>
            <a:ext uri="{FF2B5EF4-FFF2-40B4-BE49-F238E27FC236}">
              <a16:creationId xmlns:a16="http://schemas.microsoft.com/office/drawing/2014/main" id="{FF7E72CB-083A-4D8F-85E2-C4F13728A0EF}"/>
            </a:ext>
          </a:extLst>
        </xdr:cNvPr>
        <xdr:cNvPicPr>
          <a:picLocks noChangeAspect="1"/>
        </xdr:cNvPicPr>
      </xdr:nvPicPr>
      <xdr:blipFill>
        <a:blip xmlns:r="http://schemas.openxmlformats.org/officeDocument/2006/relationships" r:embed="rId13"/>
        <a:stretch>
          <a:fillRect/>
        </a:stretch>
      </xdr:blipFill>
      <xdr:spPr>
        <a:xfrm>
          <a:off x="10658475" y="15354300"/>
          <a:ext cx="4534533" cy="276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4967E-3DDC-4E3B-BAA8-172A1DDE0E35}">
  <dimension ref="O4:V86"/>
  <sheetViews>
    <sheetView topLeftCell="A20" workbookViewId="0">
      <selection activeCell="Q66" sqref="Q66"/>
    </sheetView>
  </sheetViews>
  <sheetFormatPr baseColWidth="10" defaultRowHeight="15" x14ac:dyDescent="0.25"/>
  <cols>
    <col min="16" max="16" width="12.28515625" bestFit="1" customWidth="1"/>
    <col min="17" max="17" width="16.7109375" style="2" bestFit="1" customWidth="1"/>
    <col min="18" max="19" width="13" bestFit="1" customWidth="1"/>
    <col min="21" max="21" width="15.7109375" customWidth="1"/>
    <col min="22" max="22" width="34.28515625" customWidth="1"/>
  </cols>
  <sheetData>
    <row r="4" spans="15:22" ht="30" x14ac:dyDescent="0.25">
      <c r="P4" s="1" t="s">
        <v>0</v>
      </c>
      <c r="Q4" s="2">
        <v>955000</v>
      </c>
      <c r="R4" s="3">
        <f>Q4/Q5</f>
        <v>4.3843057463327924</v>
      </c>
      <c r="S4" s="4" t="s">
        <v>2</v>
      </c>
      <c r="T4" s="4"/>
      <c r="U4" s="4"/>
    </row>
    <row r="5" spans="15:22" ht="30" x14ac:dyDescent="0.25">
      <c r="P5" s="1" t="s">
        <v>1</v>
      </c>
      <c r="Q5" s="2">
        <v>217822.4</v>
      </c>
      <c r="R5" s="3"/>
      <c r="S5" s="4"/>
      <c r="T5" s="4"/>
      <c r="U5" s="4"/>
    </row>
    <row r="12" spans="15:22" ht="30" x14ac:dyDescent="0.25">
      <c r="P12" s="1" t="s">
        <v>0</v>
      </c>
      <c r="Q12" s="5">
        <f>Q4</f>
        <v>955000</v>
      </c>
      <c r="R12" s="2">
        <f>Q12-Q13</f>
        <v>430000</v>
      </c>
      <c r="S12" s="5"/>
      <c r="T12" s="4" t="s">
        <v>5</v>
      </c>
      <c r="U12" s="4"/>
      <c r="V12" s="4"/>
    </row>
    <row r="13" spans="15:22" x14ac:dyDescent="0.25">
      <c r="O13" t="s">
        <v>4</v>
      </c>
      <c r="P13" t="s">
        <v>3</v>
      </c>
      <c r="Q13" s="5">
        <v>525000</v>
      </c>
      <c r="R13" s="2"/>
      <c r="S13" s="7">
        <f>R12/Q14</f>
        <v>1.9740853098671212</v>
      </c>
      <c r="T13" s="4"/>
      <c r="U13" s="4"/>
      <c r="V13" s="4"/>
    </row>
    <row r="14" spans="15:22" ht="30" x14ac:dyDescent="0.25">
      <c r="P14" s="1" t="s">
        <v>1</v>
      </c>
      <c r="Q14" s="5">
        <f>Q5</f>
        <v>217822.4</v>
      </c>
      <c r="S14" s="6"/>
      <c r="T14" s="4"/>
      <c r="U14" s="4"/>
      <c r="V14" s="4"/>
    </row>
    <row r="19" spans="15:22" ht="30" x14ac:dyDescent="0.25">
      <c r="P19" s="8" t="s">
        <v>6</v>
      </c>
      <c r="Q19" s="2">
        <v>373350</v>
      </c>
      <c r="R19">
        <f>Q19/Q20</f>
        <v>0.71114285714285719</v>
      </c>
      <c r="S19" t="s">
        <v>8</v>
      </c>
      <c r="T19" s="4" t="s">
        <v>9</v>
      </c>
      <c r="U19" s="4"/>
      <c r="V19" s="4"/>
    </row>
    <row r="20" spans="15:22" x14ac:dyDescent="0.25">
      <c r="O20" t="s">
        <v>7</v>
      </c>
      <c r="P20" s="2" t="s">
        <v>3</v>
      </c>
      <c r="Q20" s="2">
        <f>Q13</f>
        <v>525000</v>
      </c>
      <c r="R20" s="2"/>
      <c r="T20" s="4"/>
      <c r="U20" s="4"/>
      <c r="V20" s="4"/>
    </row>
    <row r="21" spans="15:22" x14ac:dyDescent="0.25">
      <c r="R21" s="2"/>
      <c r="T21" s="4"/>
      <c r="U21" s="4"/>
      <c r="V21" s="4"/>
    </row>
    <row r="22" spans="15:22" x14ac:dyDescent="0.25">
      <c r="R22" s="2"/>
    </row>
    <row r="23" spans="15:22" x14ac:dyDescent="0.25">
      <c r="R23" s="2"/>
    </row>
    <row r="24" spans="15:22" x14ac:dyDescent="0.25">
      <c r="R24" s="2"/>
    </row>
    <row r="25" spans="15:22" x14ac:dyDescent="0.25">
      <c r="R25" s="2"/>
    </row>
    <row r="26" spans="15:22" x14ac:dyDescent="0.25">
      <c r="R26" s="2"/>
    </row>
    <row r="27" spans="15:22" ht="30" x14ac:dyDescent="0.25">
      <c r="O27" s="9" t="s">
        <v>10</v>
      </c>
      <c r="P27" s="1" t="s">
        <v>11</v>
      </c>
      <c r="Q27" s="6">
        <v>20000</v>
      </c>
      <c r="R27" s="10">
        <f>((Q27+Q28)/(Q29/360))</f>
        <v>40.5</v>
      </c>
      <c r="S27" t="s">
        <v>14</v>
      </c>
      <c r="T27" s="4" t="s">
        <v>15</v>
      </c>
      <c r="U27" s="4"/>
      <c r="V27" s="4"/>
    </row>
    <row r="28" spans="15:22" x14ac:dyDescent="0.25">
      <c r="O28" s="9"/>
      <c r="P28" t="s">
        <v>12</v>
      </c>
      <c r="Q28" s="2">
        <v>70000</v>
      </c>
      <c r="R28" s="2"/>
      <c r="T28" s="4"/>
      <c r="U28" s="4"/>
      <c r="V28" s="4"/>
    </row>
    <row r="29" spans="15:22" ht="30" x14ac:dyDescent="0.25">
      <c r="P29" s="1" t="s">
        <v>13</v>
      </c>
      <c r="Q29" s="6">
        <v>800000</v>
      </c>
      <c r="R29" s="2"/>
      <c r="T29" s="4"/>
      <c r="U29" s="4"/>
      <c r="V29" s="4"/>
    </row>
    <row r="30" spans="15:22" x14ac:dyDescent="0.25">
      <c r="R30" s="2"/>
      <c r="T30" s="4"/>
      <c r="U30" s="4"/>
      <c r="V30" s="4"/>
    </row>
    <row r="31" spans="15:22" x14ac:dyDescent="0.25">
      <c r="R31" s="2"/>
    </row>
    <row r="32" spans="15:22" x14ac:dyDescent="0.25">
      <c r="R32" s="2"/>
    </row>
    <row r="33" spans="16:22" x14ac:dyDescent="0.25">
      <c r="R33" s="2"/>
    </row>
    <row r="34" spans="16:22" x14ac:dyDescent="0.25">
      <c r="R34" s="2"/>
    </row>
    <row r="35" spans="16:22" x14ac:dyDescent="0.25">
      <c r="P35" t="s">
        <v>17</v>
      </c>
      <c r="Q35" s="2">
        <v>790000</v>
      </c>
      <c r="R35" s="11">
        <f>Q35/Q36</f>
        <v>3.4193988817959684</v>
      </c>
      <c r="S35" s="3" t="s">
        <v>8</v>
      </c>
      <c r="T35" s="4" t="s">
        <v>18</v>
      </c>
      <c r="U35" s="4"/>
      <c r="V35" s="4"/>
    </row>
    <row r="36" spans="16:22" ht="30" x14ac:dyDescent="0.25">
      <c r="P36" s="9" t="s">
        <v>16</v>
      </c>
      <c r="Q36" s="2">
        <v>231034.76</v>
      </c>
      <c r="R36" s="11"/>
      <c r="S36" s="3"/>
      <c r="T36" s="4"/>
      <c r="U36" s="4"/>
      <c r="V36" s="4"/>
    </row>
    <row r="37" spans="16:22" x14ac:dyDescent="0.25">
      <c r="R37" s="2"/>
      <c r="T37" s="4"/>
      <c r="U37" s="4"/>
      <c r="V37" s="4"/>
    </row>
    <row r="38" spans="16:22" x14ac:dyDescent="0.25">
      <c r="R38" s="2"/>
      <c r="T38" s="4"/>
      <c r="U38" s="4"/>
      <c r="V38" s="4"/>
    </row>
    <row r="39" spans="16:22" x14ac:dyDescent="0.25">
      <c r="R39" s="2"/>
    </row>
    <row r="40" spans="16:22" x14ac:dyDescent="0.25">
      <c r="R40" s="2"/>
    </row>
    <row r="41" spans="16:22" x14ac:dyDescent="0.25">
      <c r="R41" s="2"/>
    </row>
    <row r="42" spans="16:22" x14ac:dyDescent="0.25">
      <c r="P42" s="1" t="s">
        <v>17</v>
      </c>
      <c r="Q42" s="2">
        <f>Q35</f>
        <v>790000</v>
      </c>
      <c r="R42" s="12">
        <f>Q42/Q43</f>
        <v>0.66608503109976303</v>
      </c>
      <c r="S42" s="3" t="s">
        <v>8</v>
      </c>
      <c r="T42" s="4" t="s">
        <v>21</v>
      </c>
      <c r="U42" s="4"/>
      <c r="V42" s="4"/>
    </row>
    <row r="43" spans="16:22" ht="30" x14ac:dyDescent="0.25">
      <c r="P43" s="1" t="s">
        <v>20</v>
      </c>
      <c r="Q43" s="2">
        <v>1186034.76</v>
      </c>
      <c r="R43" s="12"/>
      <c r="S43" s="3"/>
      <c r="T43" s="4"/>
      <c r="U43" s="4"/>
      <c r="V43" s="4"/>
    </row>
    <row r="44" spans="16:22" x14ac:dyDescent="0.25">
      <c r="R44" s="2"/>
      <c r="T44" s="4"/>
      <c r="U44" s="4"/>
      <c r="V44" s="4"/>
    </row>
    <row r="45" spans="16:22" x14ac:dyDescent="0.25">
      <c r="R45" s="2"/>
      <c r="T45" s="4"/>
      <c r="U45" s="4"/>
      <c r="V45" s="4"/>
    </row>
    <row r="46" spans="16:22" x14ac:dyDescent="0.25">
      <c r="R46" s="2"/>
    </row>
    <row r="47" spans="16:22" x14ac:dyDescent="0.25">
      <c r="R47" s="2"/>
    </row>
    <row r="48" spans="16:22" x14ac:dyDescent="0.25">
      <c r="R48" s="2"/>
    </row>
    <row r="49" spans="16:22" ht="30" x14ac:dyDescent="0.25">
      <c r="P49" s="1" t="s">
        <v>22</v>
      </c>
      <c r="Q49" s="2">
        <v>217822.4</v>
      </c>
      <c r="R49" s="12">
        <f>(Q49/Q50)*100</f>
        <v>18.3656000099019</v>
      </c>
      <c r="S49" s="4" t="s">
        <v>23</v>
      </c>
      <c r="T49" s="4"/>
      <c r="U49" s="4"/>
      <c r="V49" s="4"/>
    </row>
    <row r="50" spans="16:22" ht="30" x14ac:dyDescent="0.25">
      <c r="P50" s="1" t="s">
        <v>20</v>
      </c>
      <c r="Q50" s="2">
        <f>Q43</f>
        <v>1186034.76</v>
      </c>
      <c r="R50" s="12"/>
      <c r="S50" s="4"/>
      <c r="T50" s="4"/>
      <c r="U50" s="4"/>
      <c r="V50" s="4"/>
    </row>
    <row r="51" spans="16:22" x14ac:dyDescent="0.25">
      <c r="R51" s="2"/>
      <c r="S51" s="4"/>
      <c r="T51" s="4"/>
      <c r="U51" s="4"/>
      <c r="V51" s="4"/>
    </row>
    <row r="52" spans="16:22" x14ac:dyDescent="0.25">
      <c r="R52" s="2"/>
      <c r="S52" s="4"/>
      <c r="T52" s="4"/>
      <c r="U52" s="4"/>
      <c r="V52" s="4"/>
    </row>
    <row r="53" spans="16:22" x14ac:dyDescent="0.25">
      <c r="R53" s="2"/>
    </row>
    <row r="54" spans="16:22" x14ac:dyDescent="0.25">
      <c r="R54" s="2"/>
    </row>
    <row r="55" spans="16:22" x14ac:dyDescent="0.25">
      <c r="R55" s="2"/>
    </row>
    <row r="56" spans="16:22" x14ac:dyDescent="0.25">
      <c r="R56" s="2"/>
    </row>
    <row r="57" spans="16:22" x14ac:dyDescent="0.25">
      <c r="P57" t="s">
        <v>24</v>
      </c>
      <c r="Q57" s="2">
        <v>178620.65</v>
      </c>
      <c r="R57" s="12">
        <f>Q57/Q58</f>
        <v>0.22610208860759493</v>
      </c>
      <c r="S57" s="13" t="s">
        <v>25</v>
      </c>
      <c r="T57" s="13"/>
      <c r="U57" s="13"/>
      <c r="V57" s="13"/>
    </row>
    <row r="58" spans="16:22" x14ac:dyDescent="0.25">
      <c r="P58" t="s">
        <v>17</v>
      </c>
      <c r="Q58" s="2">
        <f>Q42</f>
        <v>790000</v>
      </c>
      <c r="R58" s="12"/>
      <c r="S58" s="13"/>
      <c r="T58" s="13"/>
      <c r="U58" s="13"/>
      <c r="V58" s="13"/>
    </row>
    <row r="59" spans="16:22" x14ac:dyDescent="0.25">
      <c r="R59" s="2"/>
      <c r="S59" s="13"/>
      <c r="T59" s="13"/>
      <c r="U59" s="13"/>
      <c r="V59" s="13"/>
    </row>
    <row r="60" spans="16:22" x14ac:dyDescent="0.25">
      <c r="R60" s="2"/>
      <c r="S60" s="13"/>
      <c r="T60" s="13"/>
      <c r="U60" s="13"/>
      <c r="V60" s="13"/>
    </row>
    <row r="61" spans="16:22" x14ac:dyDescent="0.25">
      <c r="R61" s="2"/>
      <c r="S61" s="13"/>
      <c r="T61" s="13"/>
      <c r="U61" s="13"/>
      <c r="V61" s="13"/>
    </row>
    <row r="62" spans="16:22" x14ac:dyDescent="0.25">
      <c r="R62" s="2"/>
    </row>
    <row r="63" spans="16:22" x14ac:dyDescent="0.25">
      <c r="R63" s="2"/>
    </row>
    <row r="64" spans="16:22" x14ac:dyDescent="0.25">
      <c r="R64" s="2"/>
    </row>
    <row r="65" spans="16:22" x14ac:dyDescent="0.25">
      <c r="P65" s="1" t="s">
        <v>24</v>
      </c>
      <c r="Q65" s="2">
        <v>255172.36</v>
      </c>
      <c r="R65" s="12">
        <f>Q65/Q66</f>
        <v>0.21514745486886067</v>
      </c>
      <c r="S65" s="4" t="s">
        <v>27</v>
      </c>
      <c r="T65" s="4"/>
      <c r="U65" s="4"/>
      <c r="V65" s="4"/>
    </row>
    <row r="66" spans="16:22" ht="30" x14ac:dyDescent="0.25">
      <c r="P66" s="1" t="s">
        <v>26</v>
      </c>
      <c r="Q66" s="2">
        <f>Q50</f>
        <v>1186034.76</v>
      </c>
      <c r="R66" s="12"/>
      <c r="S66" s="4"/>
      <c r="T66" s="4"/>
      <c r="U66" s="4"/>
      <c r="V66" s="4"/>
    </row>
    <row r="67" spans="16:22" x14ac:dyDescent="0.25">
      <c r="R67" s="2"/>
      <c r="S67" s="4"/>
      <c r="T67" s="4"/>
      <c r="U67" s="4"/>
      <c r="V67" s="4"/>
    </row>
    <row r="68" spans="16:22" x14ac:dyDescent="0.25">
      <c r="R68" s="2"/>
    </row>
    <row r="69" spans="16:22" x14ac:dyDescent="0.25">
      <c r="R69" s="2"/>
    </row>
    <row r="70" spans="16:22" x14ac:dyDescent="0.25">
      <c r="R70" s="2"/>
    </row>
    <row r="71" spans="16:22" x14ac:dyDescent="0.25">
      <c r="R71" s="2"/>
    </row>
    <row r="72" spans="16:22" x14ac:dyDescent="0.25">
      <c r="R72" s="2"/>
    </row>
    <row r="73" spans="16:22" x14ac:dyDescent="0.25">
      <c r="R73" s="2"/>
    </row>
    <row r="74" spans="16:22" x14ac:dyDescent="0.25">
      <c r="R74" s="2"/>
    </row>
    <row r="75" spans="16:22" x14ac:dyDescent="0.25">
      <c r="R75" s="2"/>
    </row>
    <row r="76" spans="16:22" x14ac:dyDescent="0.25">
      <c r="R76" s="2"/>
    </row>
    <row r="77" spans="16:22" x14ac:dyDescent="0.25">
      <c r="R77" s="2"/>
    </row>
    <row r="78" spans="16:22" x14ac:dyDescent="0.25">
      <c r="R78" s="2"/>
    </row>
    <row r="79" spans="16:22" x14ac:dyDescent="0.25">
      <c r="R79" s="2"/>
    </row>
    <row r="80" spans="16:22" x14ac:dyDescent="0.25">
      <c r="R80" s="2"/>
    </row>
    <row r="81" spans="18:18" x14ac:dyDescent="0.25">
      <c r="R81" s="2"/>
    </row>
    <row r="82" spans="18:18" x14ac:dyDescent="0.25">
      <c r="R82" s="2"/>
    </row>
    <row r="83" spans="18:18" x14ac:dyDescent="0.25">
      <c r="R83" s="2"/>
    </row>
    <row r="84" spans="18:18" x14ac:dyDescent="0.25">
      <c r="R84" s="2"/>
    </row>
    <row r="85" spans="18:18" x14ac:dyDescent="0.25">
      <c r="R85" s="2"/>
    </row>
    <row r="86" spans="18:18" x14ac:dyDescent="0.25">
      <c r="R86" s="2"/>
    </row>
  </sheetData>
  <mergeCells count="17">
    <mergeCell ref="R57:R58"/>
    <mergeCell ref="S57:V61"/>
    <mergeCell ref="R65:R66"/>
    <mergeCell ref="S65:V67"/>
    <mergeCell ref="S35:S36"/>
    <mergeCell ref="T35:V38"/>
    <mergeCell ref="R42:R43"/>
    <mergeCell ref="S42:S43"/>
    <mergeCell ref="T42:V45"/>
    <mergeCell ref="R49:R50"/>
    <mergeCell ref="S49:V52"/>
    <mergeCell ref="R4:R5"/>
    <mergeCell ref="S4:U5"/>
    <mergeCell ref="T12:V14"/>
    <mergeCell ref="T19:V21"/>
    <mergeCell ref="T27:V30"/>
    <mergeCell ref="R35:R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251CD-E84E-4C6A-A411-D415E6BD2FFC}">
  <dimension ref="P6:Y73"/>
  <sheetViews>
    <sheetView tabSelected="1" workbookViewId="0">
      <selection activeCell="U81" sqref="U81"/>
    </sheetView>
  </sheetViews>
  <sheetFormatPr baseColWidth="10" defaultRowHeight="15" x14ac:dyDescent="0.25"/>
  <cols>
    <col min="16" max="16" width="13" bestFit="1" customWidth="1"/>
    <col min="18" max="18" width="14.5703125" style="2" bestFit="1" customWidth="1"/>
  </cols>
  <sheetData>
    <row r="6" spans="17:25" ht="30" x14ac:dyDescent="0.25">
      <c r="Q6" s="1" t="s">
        <v>0</v>
      </c>
      <c r="R6" s="2">
        <v>734000</v>
      </c>
      <c r="S6" s="3">
        <f>((R6-R7)/R8)</f>
        <v>14.794884410664702</v>
      </c>
      <c r="T6" s="4" t="s">
        <v>28</v>
      </c>
      <c r="U6" s="4"/>
      <c r="V6" s="4"/>
      <c r="W6" s="4"/>
      <c r="X6" s="4"/>
      <c r="Y6" s="4"/>
    </row>
    <row r="7" spans="17:25" x14ac:dyDescent="0.25">
      <c r="Q7" s="1" t="s">
        <v>3</v>
      </c>
      <c r="R7" s="2">
        <v>175000</v>
      </c>
      <c r="S7" s="3"/>
      <c r="T7" s="4"/>
      <c r="U7" s="4"/>
      <c r="V7" s="4"/>
      <c r="W7" s="4"/>
      <c r="X7" s="4"/>
      <c r="Y7" s="4"/>
    </row>
    <row r="8" spans="17:25" ht="30" x14ac:dyDescent="0.25">
      <c r="Q8" s="1" t="s">
        <v>1</v>
      </c>
      <c r="R8" s="2">
        <v>37783.33</v>
      </c>
      <c r="S8" s="3"/>
      <c r="T8" s="4"/>
      <c r="U8" s="4"/>
      <c r="V8" s="4"/>
      <c r="W8" s="4"/>
      <c r="X8" s="4"/>
      <c r="Y8" s="4"/>
    </row>
    <row r="12" spans="17:25" ht="30" x14ac:dyDescent="0.25">
      <c r="Q12" s="1" t="s">
        <v>6</v>
      </c>
      <c r="R12" s="2">
        <v>270800</v>
      </c>
      <c r="S12" s="3">
        <f>R12/R13</f>
        <v>1.5474285714285714</v>
      </c>
      <c r="T12" s="4" t="s">
        <v>29</v>
      </c>
      <c r="U12" s="4"/>
      <c r="V12" s="4"/>
      <c r="W12" s="4"/>
      <c r="X12" s="4"/>
      <c r="Y12" s="4"/>
    </row>
    <row r="13" spans="17:25" x14ac:dyDescent="0.25">
      <c r="Q13" t="s">
        <v>3</v>
      </c>
      <c r="R13" s="2">
        <f>R7</f>
        <v>175000</v>
      </c>
      <c r="S13" s="3"/>
      <c r="T13" s="4"/>
      <c r="U13" s="4"/>
      <c r="V13" s="4"/>
      <c r="W13" s="4"/>
      <c r="X13" s="4"/>
      <c r="Y13" s="4"/>
    </row>
    <row r="14" spans="17:25" x14ac:dyDescent="0.25">
      <c r="T14" s="4"/>
      <c r="U14" s="4"/>
      <c r="V14" s="4"/>
      <c r="W14" s="4"/>
      <c r="X14" s="4"/>
      <c r="Y14" s="4"/>
    </row>
    <row r="15" spans="17:25" x14ac:dyDescent="0.25">
      <c r="T15" s="4"/>
      <c r="U15" s="4"/>
      <c r="V15" s="4"/>
      <c r="W15" s="4"/>
      <c r="X15" s="4"/>
      <c r="Y15" s="4"/>
    </row>
    <row r="16" spans="17:25" x14ac:dyDescent="0.25">
      <c r="T16" s="4"/>
      <c r="U16" s="4"/>
      <c r="V16" s="4"/>
      <c r="W16" s="4"/>
      <c r="X16" s="4"/>
      <c r="Y16" s="4"/>
    </row>
    <row r="20" spans="16:25" ht="30" x14ac:dyDescent="0.25">
      <c r="Q20" s="1" t="s">
        <v>30</v>
      </c>
      <c r="R20" s="2">
        <v>79148.27</v>
      </c>
      <c r="S20" s="3">
        <f>R20/R21</f>
        <v>7.5247918313295539E-2</v>
      </c>
      <c r="T20" s="4" t="s">
        <v>31</v>
      </c>
      <c r="U20" s="4"/>
      <c r="V20" s="4"/>
      <c r="W20" s="4"/>
      <c r="X20" s="4"/>
      <c r="Y20" s="4"/>
    </row>
    <row r="21" spans="16:25" ht="30" x14ac:dyDescent="0.25">
      <c r="Q21" s="1" t="s">
        <v>20</v>
      </c>
      <c r="R21" s="2">
        <v>1051833.3500000001</v>
      </c>
      <c r="S21" s="3"/>
      <c r="T21" s="4"/>
      <c r="U21" s="4"/>
      <c r="V21" s="4"/>
      <c r="W21" s="4"/>
      <c r="X21" s="4"/>
      <c r="Y21" s="4"/>
    </row>
    <row r="22" spans="16:25" x14ac:dyDescent="0.25">
      <c r="T22" s="4"/>
      <c r="U22" s="4"/>
      <c r="V22" s="4"/>
      <c r="W22" s="4"/>
      <c r="X22" s="4"/>
      <c r="Y22" s="4"/>
    </row>
    <row r="23" spans="16:25" x14ac:dyDescent="0.25">
      <c r="T23" s="4"/>
      <c r="U23" s="4"/>
      <c r="V23" s="4"/>
      <c r="W23" s="4"/>
      <c r="X23" s="4"/>
      <c r="Y23" s="4"/>
    </row>
    <row r="27" spans="16:25" ht="30" x14ac:dyDescent="0.25">
      <c r="P27" s="1" t="s">
        <v>32</v>
      </c>
      <c r="Q27" s="14" t="s">
        <v>33</v>
      </c>
      <c r="R27" s="2">
        <v>60000</v>
      </c>
      <c r="S27" s="3">
        <f>((R27+R28)/(R29/360))</f>
        <v>42.545454545454547</v>
      </c>
      <c r="T27" s="4" t="s">
        <v>34</v>
      </c>
      <c r="U27" s="4"/>
      <c r="V27" s="4"/>
      <c r="W27" s="4"/>
      <c r="X27" s="4"/>
      <c r="Y27" s="4"/>
    </row>
    <row r="28" spans="16:25" ht="30" x14ac:dyDescent="0.25">
      <c r="Q28" s="14" t="s">
        <v>11</v>
      </c>
      <c r="R28" s="2">
        <v>5000</v>
      </c>
      <c r="S28" s="3"/>
      <c r="T28" s="4"/>
      <c r="U28" s="4"/>
      <c r="V28" s="4"/>
      <c r="W28" s="4"/>
      <c r="X28" s="4"/>
      <c r="Y28" s="4"/>
    </row>
    <row r="29" spans="16:25" ht="30" x14ac:dyDescent="0.25">
      <c r="Q29" s="1" t="s">
        <v>13</v>
      </c>
      <c r="R29" s="2">
        <v>550000</v>
      </c>
      <c r="S29" s="3"/>
      <c r="T29" s="4"/>
      <c r="U29" s="4"/>
      <c r="V29" s="4"/>
      <c r="W29" s="4"/>
      <c r="X29" s="4"/>
      <c r="Y29" s="4"/>
    </row>
    <row r="30" spans="16:25" x14ac:dyDescent="0.25">
      <c r="T30" s="4"/>
      <c r="U30" s="4"/>
      <c r="V30" s="4"/>
      <c r="W30" s="4"/>
      <c r="X30" s="4"/>
      <c r="Y30" s="4"/>
    </row>
    <row r="31" spans="16:25" x14ac:dyDescent="0.25">
      <c r="T31" s="4"/>
      <c r="U31" s="4"/>
      <c r="V31" s="4"/>
      <c r="W31" s="4"/>
      <c r="X31" s="4"/>
      <c r="Y31" s="4"/>
    </row>
    <row r="34" spans="17:25" ht="30" x14ac:dyDescent="0.25">
      <c r="Q34" s="1" t="s">
        <v>19</v>
      </c>
      <c r="R34" s="2">
        <v>37783.33</v>
      </c>
      <c r="S34" s="3">
        <f>(R34/R35)*100</f>
        <v>3.592140332876876</v>
      </c>
      <c r="T34" s="13" t="s">
        <v>35</v>
      </c>
      <c r="U34" s="13"/>
      <c r="V34" s="13"/>
      <c r="W34" s="13"/>
      <c r="X34" s="13"/>
      <c r="Y34" s="13"/>
    </row>
    <row r="35" spans="17:25" ht="30" x14ac:dyDescent="0.25">
      <c r="Q35" s="1" t="s">
        <v>20</v>
      </c>
      <c r="R35" s="2">
        <f>R21</f>
        <v>1051833.3500000001</v>
      </c>
      <c r="S35" s="3"/>
      <c r="T35" s="13"/>
      <c r="U35" s="13"/>
      <c r="V35" s="13"/>
      <c r="W35" s="13"/>
      <c r="X35" s="13"/>
      <c r="Y35" s="13"/>
    </row>
    <row r="36" spans="17:25" x14ac:dyDescent="0.25">
      <c r="T36" s="13"/>
      <c r="U36" s="13"/>
      <c r="V36" s="13"/>
      <c r="W36" s="13"/>
      <c r="X36" s="13"/>
      <c r="Y36" s="13"/>
    </row>
    <row r="37" spans="17:25" x14ac:dyDescent="0.25">
      <c r="T37" s="13"/>
      <c r="U37" s="13"/>
      <c r="V37" s="13"/>
      <c r="W37" s="13"/>
      <c r="X37" s="13"/>
      <c r="Y37" s="13"/>
    </row>
    <row r="38" spans="17:25" x14ac:dyDescent="0.25">
      <c r="T38" s="13"/>
      <c r="U38" s="13"/>
      <c r="V38" s="13"/>
      <c r="W38" s="13"/>
      <c r="X38" s="13"/>
      <c r="Y38" s="13"/>
    </row>
    <row r="39" spans="17:25" x14ac:dyDescent="0.25">
      <c r="T39" s="13"/>
      <c r="U39" s="13"/>
      <c r="V39" s="13"/>
      <c r="W39" s="13"/>
      <c r="X39" s="13"/>
      <c r="Y39" s="13"/>
    </row>
    <row r="43" spans="17:25" ht="30" x14ac:dyDescent="0.25">
      <c r="Q43" s="1" t="s">
        <v>17</v>
      </c>
      <c r="R43" s="2">
        <v>549500</v>
      </c>
      <c r="S43" s="3">
        <f>R43/R44</f>
        <v>0.74863760217983655</v>
      </c>
      <c r="T43" s="4" t="s">
        <v>36</v>
      </c>
      <c r="U43" s="4"/>
      <c r="V43" s="4"/>
      <c r="W43" s="4"/>
      <c r="X43" s="4"/>
      <c r="Y43" s="4"/>
    </row>
    <row r="44" spans="17:25" ht="30" x14ac:dyDescent="0.25">
      <c r="Q44" s="9" t="s">
        <v>16</v>
      </c>
      <c r="R44" s="2">
        <v>734000</v>
      </c>
      <c r="S44" s="3"/>
      <c r="T44" s="4"/>
      <c r="U44" s="4"/>
      <c r="V44" s="4"/>
      <c r="W44" s="4"/>
      <c r="X44" s="4"/>
      <c r="Y44" s="4"/>
    </row>
    <row r="45" spans="17:25" x14ac:dyDescent="0.25">
      <c r="T45" s="4"/>
      <c r="U45" s="4"/>
      <c r="V45" s="4"/>
      <c r="W45" s="4"/>
      <c r="X45" s="4"/>
      <c r="Y45" s="4"/>
    </row>
    <row r="46" spans="17:25" x14ac:dyDescent="0.25">
      <c r="T46" s="4"/>
      <c r="U46" s="4"/>
      <c r="V46" s="4"/>
      <c r="W46" s="4"/>
      <c r="X46" s="4"/>
      <c r="Y46" s="4"/>
    </row>
    <row r="50" spans="16:25" ht="30" x14ac:dyDescent="0.25">
      <c r="Q50" s="1" t="s">
        <v>0</v>
      </c>
      <c r="R50" s="2">
        <v>734000</v>
      </c>
      <c r="S50" s="3">
        <f>R50/R51</f>
        <v>19.426556632250254</v>
      </c>
      <c r="T50" s="4" t="s">
        <v>38</v>
      </c>
      <c r="U50" s="4"/>
      <c r="V50" s="4"/>
      <c r="W50" s="4"/>
      <c r="X50" s="4"/>
      <c r="Y50" s="4"/>
    </row>
    <row r="51" spans="16:25" ht="30" x14ac:dyDescent="0.25">
      <c r="Q51" s="1" t="s">
        <v>37</v>
      </c>
      <c r="R51" s="2">
        <v>37783.33</v>
      </c>
      <c r="S51" s="3"/>
      <c r="T51" s="4"/>
      <c r="U51" s="4"/>
      <c r="V51" s="4"/>
      <c r="W51" s="4"/>
      <c r="X51" s="4"/>
      <c r="Y51" s="4"/>
    </row>
    <row r="52" spans="16:25" x14ac:dyDescent="0.25">
      <c r="T52" s="4"/>
      <c r="U52" s="4"/>
      <c r="V52" s="4"/>
      <c r="W52" s="4"/>
      <c r="X52" s="4"/>
      <c r="Y52" s="4"/>
    </row>
    <row r="53" spans="16:25" x14ac:dyDescent="0.25">
      <c r="T53" s="4"/>
      <c r="U53" s="4"/>
      <c r="V53" s="4"/>
      <c r="W53" s="4"/>
      <c r="X53" s="4"/>
      <c r="Y53" s="4"/>
    </row>
    <row r="54" spans="16:25" x14ac:dyDescent="0.25">
      <c r="T54" s="4"/>
      <c r="U54" s="4"/>
      <c r="V54" s="4"/>
      <c r="W54" s="4"/>
      <c r="X54" s="4"/>
      <c r="Y54" s="4"/>
    </row>
    <row r="59" spans="16:25" ht="30" x14ac:dyDescent="0.25">
      <c r="Q59" s="1" t="s">
        <v>17</v>
      </c>
      <c r="R59" s="2">
        <v>549500</v>
      </c>
      <c r="S59" s="3">
        <f>R59/R60</f>
        <v>0.52242116110883907</v>
      </c>
      <c r="T59" s="4" t="s">
        <v>39</v>
      </c>
      <c r="U59" s="4"/>
      <c r="V59" s="4"/>
      <c r="W59" s="4"/>
      <c r="X59" s="4"/>
      <c r="Y59" s="4"/>
    </row>
    <row r="60" spans="16:25" ht="30" x14ac:dyDescent="0.25">
      <c r="Q60" s="1" t="s">
        <v>26</v>
      </c>
      <c r="R60" s="2">
        <v>1051833.3500000001</v>
      </c>
      <c r="S60" s="3"/>
      <c r="T60" s="4"/>
      <c r="U60" s="4"/>
      <c r="V60" s="4"/>
      <c r="W60" s="4"/>
      <c r="X60" s="4"/>
      <c r="Y60" s="4"/>
    </row>
    <row r="61" spans="16:25" x14ac:dyDescent="0.25">
      <c r="T61" s="4"/>
      <c r="U61" s="4"/>
      <c r="V61" s="4"/>
      <c r="W61" s="4"/>
      <c r="X61" s="4"/>
      <c r="Y61" s="4"/>
    </row>
    <row r="62" spans="16:25" x14ac:dyDescent="0.25">
      <c r="T62" s="4"/>
      <c r="U62" s="4"/>
      <c r="V62" s="4"/>
      <c r="W62" s="4"/>
      <c r="X62" s="4"/>
      <c r="Y62" s="4"/>
    </row>
    <row r="63" spans="16:25" x14ac:dyDescent="0.25">
      <c r="P63" s="2"/>
    </row>
    <row r="68" spans="17:25" ht="30" x14ac:dyDescent="0.25">
      <c r="Q68" s="1" t="s">
        <v>24</v>
      </c>
      <c r="R68" s="2">
        <v>105531.02</v>
      </c>
      <c r="S68" s="3">
        <f>R68/R69</f>
        <v>0.19204917197452229</v>
      </c>
      <c r="T68" s="4" t="s">
        <v>40</v>
      </c>
      <c r="U68" s="4"/>
      <c r="V68" s="4"/>
      <c r="W68" s="4"/>
      <c r="X68" s="4"/>
      <c r="Y68" s="4"/>
    </row>
    <row r="69" spans="17:25" ht="30" x14ac:dyDescent="0.25">
      <c r="Q69" s="1" t="s">
        <v>17</v>
      </c>
      <c r="R69" s="2">
        <v>549500</v>
      </c>
      <c r="S69" s="3"/>
      <c r="T69" s="4"/>
      <c r="U69" s="4"/>
      <c r="V69" s="4"/>
      <c r="W69" s="4"/>
      <c r="X69" s="4"/>
      <c r="Y69" s="4"/>
    </row>
    <row r="70" spans="17:25" x14ac:dyDescent="0.25">
      <c r="T70" s="4"/>
      <c r="U70" s="4"/>
      <c r="V70" s="4"/>
      <c r="W70" s="4"/>
      <c r="X70" s="4"/>
      <c r="Y70" s="4"/>
    </row>
    <row r="71" spans="17:25" x14ac:dyDescent="0.25">
      <c r="T71" s="4"/>
      <c r="U71" s="4"/>
      <c r="V71" s="4"/>
      <c r="W71" s="4"/>
      <c r="X71" s="4"/>
      <c r="Y71" s="4"/>
    </row>
    <row r="72" spans="17:25" x14ac:dyDescent="0.25">
      <c r="T72" s="4"/>
      <c r="U72" s="4"/>
      <c r="V72" s="4"/>
      <c r="W72" s="4"/>
      <c r="X72" s="4"/>
      <c r="Y72" s="4"/>
    </row>
    <row r="73" spans="17:25" x14ac:dyDescent="0.25">
      <c r="T73" s="4"/>
      <c r="U73" s="4"/>
      <c r="V73" s="4"/>
      <c r="W73" s="4"/>
      <c r="X73" s="4"/>
      <c r="Y73" s="4"/>
    </row>
  </sheetData>
  <mergeCells count="18">
    <mergeCell ref="S50:S51"/>
    <mergeCell ref="T50:Y54"/>
    <mergeCell ref="S59:S60"/>
    <mergeCell ref="T59:Y62"/>
    <mergeCell ref="S68:S69"/>
    <mergeCell ref="T68:Y73"/>
    <mergeCell ref="S27:S29"/>
    <mergeCell ref="T27:Y31"/>
    <mergeCell ref="S34:S35"/>
    <mergeCell ref="T34:Y39"/>
    <mergeCell ref="S43:S44"/>
    <mergeCell ref="T43:Y46"/>
    <mergeCell ref="S6:S8"/>
    <mergeCell ref="T6:Y8"/>
    <mergeCell ref="S12:S13"/>
    <mergeCell ref="T12:Y16"/>
    <mergeCell ref="S20:S21"/>
    <mergeCell ref="T20:Y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DANIEL SAJVIN GOMEZ</dc:creator>
  <cp:lastModifiedBy>MARIO DANIEL SAJVIN GOMEZ</cp:lastModifiedBy>
  <dcterms:created xsi:type="dcterms:W3CDTF">2025-02-14T02:33:04Z</dcterms:created>
  <dcterms:modified xsi:type="dcterms:W3CDTF">2025-02-14T05:59:51Z</dcterms:modified>
</cp:coreProperties>
</file>