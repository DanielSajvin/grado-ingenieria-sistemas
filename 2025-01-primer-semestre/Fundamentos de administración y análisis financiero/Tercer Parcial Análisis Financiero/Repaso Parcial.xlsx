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jvn\Desktop\Tercer Parcial Análisis Financiero\"/>
    </mc:Choice>
  </mc:AlternateContent>
  <xr:revisionPtr revIDLastSave="0" documentId="13_ncr:1_{8F0D61B6-475F-49C6-B481-07D5BE9A4EA7}" xr6:coauthVersionLast="47" xr6:coauthVersionMax="47" xr10:uidLastSave="{00000000-0000-0000-0000-000000000000}"/>
  <bookViews>
    <workbookView xWindow="-108" yWindow="-108" windowWidth="23256" windowHeight="13176" firstSheet="3" activeTab="3" xr2:uid="{DC2EEAF0-24FD-4B1F-AB41-11A3DEF449A7}"/>
  </bookViews>
  <sheets>
    <sheet name="Ciclo de conversión de efectivo" sheetId="1" r:id="rId1"/>
    <sheet name="Capital de Trabajo - Inversión" sheetId="2" r:id="rId2"/>
    <sheet name="Costo de la inversión marginal" sheetId="3" r:id="rId3"/>
    <sheet name="Hoja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4" l="1"/>
  <c r="L11" i="3"/>
  <c r="L10" i="3"/>
  <c r="K7" i="3"/>
  <c r="K6" i="3"/>
  <c r="L2" i="3"/>
  <c r="L22" i="2"/>
  <c r="R22" i="2"/>
  <c r="N22" i="2"/>
  <c r="O22" i="2"/>
  <c r="P22" i="2"/>
  <c r="Q22" i="2"/>
  <c r="S22" i="2"/>
  <c r="T22" i="2"/>
  <c r="U22" i="2"/>
  <c r="V22" i="2"/>
  <c r="W22" i="2"/>
  <c r="M22" i="2"/>
  <c r="R20" i="2"/>
  <c r="S20" i="2"/>
  <c r="T20" i="2"/>
  <c r="U20" i="2"/>
  <c r="V20" i="2"/>
  <c r="W20" i="2"/>
  <c r="M20" i="2"/>
  <c r="N20" i="2"/>
  <c r="O20" i="2"/>
  <c r="P20" i="2"/>
  <c r="Q20" i="2"/>
  <c r="L20" i="2"/>
  <c r="R56" i="4"/>
  <c r="Q56" i="4"/>
  <c r="Q54" i="4"/>
  <c r="R51" i="4"/>
  <c r="Q52" i="4"/>
  <c r="Q51" i="4"/>
  <c r="U47" i="4"/>
  <c r="R37" i="4"/>
  <c r="R35" i="4"/>
  <c r="R33" i="4"/>
  <c r="Q37" i="4"/>
  <c r="Q33" i="4"/>
  <c r="Q35" i="4"/>
  <c r="T27" i="4"/>
  <c r="Q26" i="4"/>
  <c r="U22" i="4"/>
  <c r="U20" i="4"/>
  <c r="T19" i="4"/>
  <c r="U18" i="4"/>
  <c r="S14" i="4"/>
  <c r="S13" i="4"/>
  <c r="R14" i="4"/>
  <c r="R13" i="4"/>
  <c r="Q14" i="4"/>
  <c r="Q13" i="4"/>
  <c r="S10" i="4"/>
  <c r="S9" i="4"/>
  <c r="S6" i="4"/>
  <c r="S5" i="4"/>
  <c r="L3" i="3"/>
  <c r="O14" i="3" s="1"/>
  <c r="O16" i="3" s="1"/>
  <c r="O18" i="3" s="1"/>
  <c r="N15" i="3"/>
  <c r="Q12" i="2"/>
  <c r="L19" i="2"/>
  <c r="M19" i="2"/>
  <c r="N19" i="2" s="1"/>
  <c r="O19" i="2" s="1"/>
  <c r="P19" i="2" s="1"/>
  <c r="Q19" i="2" s="1"/>
  <c r="R19" i="2" s="1"/>
  <c r="S19" i="2" s="1"/>
  <c r="T19" i="2" s="1"/>
  <c r="U19" i="2" s="1"/>
  <c r="V19" i="2" s="1"/>
  <c r="W19" i="2" s="1"/>
  <c r="L6" i="2"/>
  <c r="M6" i="2" s="1"/>
  <c r="N6" i="2" s="1"/>
  <c r="O6" i="2" s="1"/>
  <c r="P6" i="2" s="1"/>
  <c r="Q6" i="2" s="1"/>
  <c r="O2" i="2"/>
  <c r="H30" i="1"/>
  <c r="J27" i="1"/>
  <c r="J26" i="1"/>
  <c r="K26" i="1" s="1"/>
  <c r="J24" i="1"/>
  <c r="J23" i="1"/>
  <c r="K23" i="1" s="1"/>
  <c r="J21" i="1"/>
  <c r="J20" i="1"/>
  <c r="K20" i="1" s="1"/>
  <c r="R6" i="2" l="1"/>
  <c r="S6" i="2" s="1"/>
  <c r="T6" i="2" s="1"/>
  <c r="U6" i="2" s="1"/>
  <c r="V6" i="2" s="1"/>
  <c r="W6" i="2" s="1"/>
</calcChain>
</file>

<file path=xl/sharedStrings.xml><?xml version="1.0" encoding="utf-8"?>
<sst xmlns="http://schemas.openxmlformats.org/spreadsheetml/2006/main" count="125" uniqueCount="92">
  <si>
    <t>Capital de Trabajo</t>
  </si>
  <si>
    <t>Costo de ventas</t>
  </si>
  <si>
    <t>Cuentas por pagar</t>
  </si>
  <si>
    <t>Inventario</t>
  </si>
  <si>
    <t>Ventas a crédito anuales</t>
  </si>
  <si>
    <t>Cuentas por cobrar</t>
  </si>
  <si>
    <t>Periodo de Conversión de Inventario</t>
  </si>
  <si>
    <t>(Costo de ventas / 360 días)</t>
  </si>
  <si>
    <t xml:space="preserve">Periodo de Cobranza de las cuentas por cobrar </t>
  </si>
  <si>
    <t>Es el tiempo promedio requerido para transformar los materiales en bienes terminados y a continuación para venderlos</t>
  </si>
  <si>
    <t>Es el tiempo promedio requerido para convertir en efectivo las cuentas por cobrar de la empresa, es decir, para cobrar el efectivo después de una venta</t>
  </si>
  <si>
    <t>Cuentas por Cobrar</t>
  </si>
  <si>
    <t>Ventas a crédito anuales / 360 días</t>
  </si>
  <si>
    <t>Periodo de Diferimiento de las Cuentas por Pagar</t>
  </si>
  <si>
    <t>Es el tiempo promedio entre la compra de las materias primas, la mano de obra y el pago de efectivo por ella</t>
  </si>
  <si>
    <t>Cuentas por Pagar</t>
  </si>
  <si>
    <t>Costo de ventas / 360 días</t>
  </si>
  <si>
    <t>Días</t>
  </si>
  <si>
    <t>Ciclo de Conversión de efectivo</t>
  </si>
  <si>
    <t xml:space="preserve">Enero </t>
  </si>
  <si>
    <t>Febrero</t>
  </si>
  <si>
    <t xml:space="preserve">Marzo </t>
  </si>
  <si>
    <t xml:space="preserve">Abril </t>
  </si>
  <si>
    <t>Mayo</t>
  </si>
  <si>
    <t>Junio</t>
  </si>
  <si>
    <t>Julio</t>
  </si>
  <si>
    <t>Agosto</t>
  </si>
  <si>
    <t>Septiembre</t>
  </si>
  <si>
    <t>Octubre</t>
  </si>
  <si>
    <t>Noviembre</t>
  </si>
  <si>
    <t>Diciembre</t>
  </si>
  <si>
    <t>Saldo Mensual</t>
  </si>
  <si>
    <t>Saldo Acumulado</t>
  </si>
  <si>
    <t>ICT, Inversión de Capital de Trabajo</t>
  </si>
  <si>
    <t>CA, Costo Anual Proyectado</t>
  </si>
  <si>
    <t xml:space="preserve">n, Número de días entre los egresos e ingresos </t>
  </si>
  <si>
    <t>Período de Desfase</t>
  </si>
  <si>
    <t>Déficit Acumulado Máximo</t>
  </si>
  <si>
    <t>junio</t>
  </si>
  <si>
    <t>Es la cantidad máxima de dinero que la empresa llegará a necesitar para cubrir sus gastos en los meses donde hay más salidas que ingresos.</t>
  </si>
  <si>
    <t>Rotación de las cuentas por Cobrar</t>
  </si>
  <si>
    <t xml:space="preserve">Presente </t>
  </si>
  <si>
    <t>Plan Propuesto</t>
  </si>
  <si>
    <t>Costo Variable de las Ventas Anuales</t>
  </si>
  <si>
    <t>Presente:</t>
  </si>
  <si>
    <t>Propuesto:</t>
  </si>
  <si>
    <t>Inversión Promedio en las Cuentas por Cobrar</t>
  </si>
  <si>
    <t xml:space="preserve">Presente: </t>
  </si>
  <si>
    <t xml:space="preserve">Costo de la Inversión Marginal </t>
  </si>
  <si>
    <t>Inversión promedio con el plan propuesto</t>
  </si>
  <si>
    <t>Inversión promedio con el plan presente</t>
  </si>
  <si>
    <t>Inversión marginal en las cuentas por cobrar</t>
  </si>
  <si>
    <t>Rendimiento requerido de la inversión</t>
  </si>
  <si>
    <t>Costo de la inversión marginal en las cuentas por cobrar</t>
  </si>
  <si>
    <t>rPer</t>
  </si>
  <si>
    <t>TPA</t>
  </si>
  <si>
    <t>TAE</t>
  </si>
  <si>
    <t>Inciso 1</t>
  </si>
  <si>
    <t>Rotación de cuentas por cobrar</t>
  </si>
  <si>
    <t xml:space="preserve">Costo variable de las ventas anuales </t>
  </si>
  <si>
    <t>Rotación de las cuentas por cobrar</t>
  </si>
  <si>
    <t>Inversión promedio en las cuentas por cobrar</t>
  </si>
  <si>
    <t>Inciso 2</t>
  </si>
  <si>
    <t>Costo de deudas incobrables marginales</t>
  </si>
  <si>
    <t>Descuentos por pago en efectivo y costos relacionados</t>
  </si>
  <si>
    <t>Proveedor A</t>
  </si>
  <si>
    <t>Proveedor B</t>
  </si>
  <si>
    <t>Proveedor C</t>
  </si>
  <si>
    <t>El proveedor B es el que tiene el costo más bajo por pagar más tarde, es decir, si no se aprovecha el descuenta y pagamos al tiempo neto es el que más barato va a salir. Esto a la vez nos permite trabajar 35 días más con el dinero del proveedor y sacar provecho del resto.</t>
  </si>
  <si>
    <t xml:space="preserve">Inciso 3 </t>
  </si>
  <si>
    <t>Optar por el A solo si se tiene buna liquidez y se puede pagar en 15 días</t>
  </si>
  <si>
    <t>Prestamo por:</t>
  </si>
  <si>
    <t>Plazo en meses:</t>
  </si>
  <si>
    <t>Tasa de interes:</t>
  </si>
  <si>
    <t>Cálculo del costo del préstamo</t>
  </si>
  <si>
    <t>Cuántos días pasan desde que una empresa paga por sus inventarios hasta que recupera ese dinero a través de las ventas y cobros a clientes. Es decir, cuánto tiempo está el dinero "atrapado" en el ciclo operativo antes de volver a la caja de la empresa.</t>
  </si>
  <si>
    <t>días</t>
  </si>
  <si>
    <r>
      <t xml:space="preserve">Desde que la empresa </t>
    </r>
    <r>
      <rPr>
        <b/>
        <sz val="11"/>
        <color theme="1"/>
        <rFont val="Aptos Narrow"/>
        <family val="2"/>
        <scheme val="minor"/>
      </rPr>
      <t>compra inventario</t>
    </r>
    <r>
      <rPr>
        <sz val="11"/>
        <color theme="1"/>
        <rFont val="Aptos Narrow"/>
        <family val="2"/>
        <scheme val="minor"/>
      </rPr>
      <t xml:space="preserve">, lo </t>
    </r>
    <r>
      <rPr>
        <b/>
        <sz val="11"/>
        <color theme="1"/>
        <rFont val="Aptos Narrow"/>
        <family val="2"/>
        <scheme val="minor"/>
      </rPr>
      <t>vende</t>
    </r>
    <r>
      <rPr>
        <sz val="11"/>
        <color theme="1"/>
        <rFont val="Aptos Narrow"/>
        <family val="2"/>
        <scheme val="minor"/>
      </rPr>
      <t xml:space="preserve"> (después de cierto tiempo) y luego espera a que los clientes le </t>
    </r>
    <r>
      <rPr>
        <b/>
        <sz val="11"/>
        <color theme="1"/>
        <rFont val="Aptos Narrow"/>
        <family val="2"/>
        <scheme val="minor"/>
      </rPr>
      <t>paguen</t>
    </r>
    <r>
      <rPr>
        <sz val="11"/>
        <color theme="1"/>
        <rFont val="Aptos Narrow"/>
        <family val="2"/>
        <scheme val="minor"/>
      </rPr>
      <t xml:space="preserve">, transcurren en promedio </t>
    </r>
    <r>
      <rPr>
        <b/>
        <sz val="11"/>
        <color theme="1"/>
        <rFont val="Aptos Narrow"/>
        <family val="2"/>
        <scheme val="minor"/>
      </rPr>
      <t>72.35 días</t>
    </r>
    <r>
      <rPr>
        <sz val="11"/>
        <color theme="1"/>
        <rFont val="Aptos Narrow"/>
        <family val="2"/>
        <scheme val="minor"/>
      </rPr>
      <t xml:space="preserve"> hasta que el dinero vuelve a ingresar a la caja.</t>
    </r>
  </si>
  <si>
    <r>
      <t xml:space="preserve">Actualmente, la empresa tarda un promedio de </t>
    </r>
    <r>
      <rPr>
        <b/>
        <sz val="11"/>
        <color theme="1"/>
        <rFont val="Aptos Narrow"/>
        <family val="2"/>
        <scheme val="minor"/>
      </rPr>
      <t>72.35 días en recuperar el efectivo invertido en sus operaciones</t>
    </r>
    <r>
      <rPr>
        <sz val="11"/>
        <color theme="1"/>
        <rFont val="Aptos Narrow"/>
        <family val="2"/>
        <scheme val="minor"/>
      </rPr>
      <t>. Esto implica que debe contar con suficiente liquidez para cubrir ese período. Se recomienda revisar la rotación de inventario, la gestión de cuentas por cobrar y las condiciones de pago a proveedores para reducir este ciclo y mejorar el flujo de caja.</t>
    </r>
  </si>
  <si>
    <t>12 meses</t>
  </si>
  <si>
    <t>no. De meses hasta que sea positivo o cero</t>
  </si>
  <si>
    <t>Actualmente, el negocio es viable: logra cubrir sus operaciones, pagar un crédito necesario de Q30,000 y aún cerrar el año con un saldo positivo de Q32,000. Esto indica que el flujo es saludable, aunque el margen es ajustado. Se recomienda continuar con el negocio, pero reforzarlo invirtiendo inteligentemente en activos que aumenten ventas o reduzcan costos. En particular, deberían considerarse inversiones en activos intangibles como marketing y tecnología, y activos tangibles que mejoren la eficiencia operativa. La clave está en consolidar la estabilidad y luego buscar crecimiento</t>
  </si>
  <si>
    <t>*</t>
  </si>
  <si>
    <t>Aproximado, no se hace la resta 100 - CD</t>
  </si>
  <si>
    <t>anuales</t>
  </si>
  <si>
    <t>inversion total</t>
  </si>
  <si>
    <t>El nuevo plan propuesto implica una inversión adicional en cuentas por cobrar de Q60,136, generando un costo financiero anual de Q7,216. Este valor representa el sacrificio de rentabilidad que hace la empresa por otorgar mayores facilidades de pago.</t>
  </si>
  <si>
    <r>
      <t>Evaluar si el plan propuesto realmente genera un beneficio mayor que el costo</t>
    </r>
    <r>
      <rPr>
        <sz val="11"/>
        <color theme="1"/>
        <rFont val="Aptos Narrow"/>
        <family val="2"/>
        <scheme val="minor"/>
      </rPr>
      <t xml:space="preserve"> (¿las ventas aumentarán más de Q7,216 de ganancia?).</t>
    </r>
  </si>
  <si>
    <r>
      <t>Analizar el riesgo de incobrabilidad o retrasos</t>
    </r>
    <r>
      <rPr>
        <sz val="11"/>
        <color theme="1"/>
        <rFont val="Aptos Narrow"/>
        <family val="2"/>
        <scheme val="minor"/>
      </rPr>
      <t>: si se dan más créditos, ¿los clientes pagarán a tiempo?</t>
    </r>
  </si>
  <si>
    <r>
      <t>Negociar mejores condiciones de cobro o usar medios de pago más rápidos</t>
    </r>
    <r>
      <rPr>
        <sz val="11"/>
        <color theme="1"/>
        <rFont val="Aptos Narrow"/>
        <family val="2"/>
        <scheme val="minor"/>
      </rPr>
      <t xml:space="preserve"> (tarjetas, transferencias).</t>
    </r>
  </si>
  <si>
    <r>
      <t>Considerar otras formas de financiamiento si no se puede sostener ese aumento en inversión de capital de trabajo</t>
    </r>
    <r>
      <rPr>
        <sz val="11"/>
        <color theme="1"/>
        <rFont val="Aptos Narrow"/>
        <family val="2"/>
        <scheme val="minor"/>
      </rPr>
      <t>.</t>
    </r>
  </si>
  <si>
    <r>
      <t xml:space="preserve">Si el incremento en las cuentas por cobrar no se traduce en un beneficio financiero que supere el costo de Q7,216, entonces el nuevo plan </t>
    </r>
    <r>
      <rPr>
        <b/>
        <sz val="11"/>
        <color theme="1"/>
        <rFont val="Aptos Narrow"/>
        <family val="2"/>
        <scheme val="minor"/>
      </rPr>
      <t>no es recomendable</t>
    </r>
    <r>
      <rPr>
        <sz val="11"/>
        <color theme="1"/>
        <rFont val="Aptos Narrow"/>
        <family val="2"/>
        <scheme val="minor"/>
      </rPr>
      <t>. La empresa debería mantener su política actual o buscar una política intermedia que permita aumentar ventas sin comprometer la rentabilidad.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</si>
</sst>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quot;* #,##0.00_-;\-&quot;Q&quot;* #,##0.00_-;_-&quot;Q&quot;* &quot;-&quot;??_-;_-@_-"/>
    <numFmt numFmtId="164" formatCode="_-[$Q-100A]* #,##0.00_-;\-[$Q-100A]* #,##0.00_-;_-[$Q-100A]*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0" fillId="0" borderId="0" xfId="0" applyAlignment="1">
      <alignment wrapText="1"/>
    </xf>
    <xf numFmtId="164" fontId="0" fillId="0" borderId="0" xfId="0" applyNumberFormat="1"/>
    <xf numFmtId="44" fontId="0" fillId="0" borderId="0" xfId="1" applyFont="1"/>
    <xf numFmtId="0" fontId="0" fillId="0" borderId="0" xfId="0" applyAlignment="1">
      <alignment horizontal="center" vertical="center"/>
    </xf>
    <xf numFmtId="0" fontId="0" fillId="0" borderId="0" xfId="0" applyAlignment="1">
      <alignment horizontal="right" vertical="center" wrapText="1"/>
    </xf>
    <xf numFmtId="44" fontId="0" fillId="0" borderId="0" xfId="0" applyNumberFormat="1"/>
    <xf numFmtId="0" fontId="0" fillId="0" borderId="0" xfId="0" applyAlignment="1">
      <alignment vertical="center"/>
    </xf>
    <xf numFmtId="0" fontId="2" fillId="0" borderId="0" xfId="0" applyFont="1" applyAlignment="1">
      <alignment horizontal="center" vertical="center"/>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44" fontId="0" fillId="0" borderId="0" xfId="0" applyNumberFormat="1" applyAlignment="1">
      <alignment vertical="center"/>
    </xf>
    <xf numFmtId="44" fontId="2" fillId="0" borderId="0" xfId="0" applyNumberFormat="1" applyFont="1"/>
    <xf numFmtId="44" fontId="4" fillId="0" borderId="0" xfId="0" applyNumberFormat="1" applyFont="1"/>
    <xf numFmtId="44" fontId="0" fillId="0" borderId="0" xfId="1" applyFont="1" applyAlignment="1">
      <alignment vertical="center"/>
    </xf>
    <xf numFmtId="0" fontId="0" fillId="0" borderId="0" xfId="0" applyAlignment="1">
      <alignment horizontal="right"/>
    </xf>
    <xf numFmtId="0" fontId="0" fillId="0" borderId="0" xfId="0" applyAlignment="1">
      <alignment horizontal="left" vertical="center" wrapText="1"/>
    </xf>
    <xf numFmtId="0" fontId="0" fillId="0" borderId="0" xfId="0" applyAlignment="1">
      <alignment horizontal="center" vertical="center" wrapText="1"/>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horizontal="right" wrapText="1"/>
    </xf>
    <xf numFmtId="0" fontId="0" fillId="0" borderId="0" xfId="0" applyAlignment="1">
      <alignment horizontal="left" wrapText="1"/>
    </xf>
    <xf numFmtId="0" fontId="2" fillId="0" borderId="0" xfId="0" applyFont="1" applyAlignment="1">
      <alignment horizontal="right" vertical="center"/>
    </xf>
    <xf numFmtId="0" fontId="2" fillId="0" borderId="0" xfId="0" applyFont="1" applyAlignment="1">
      <alignment horizontal="right"/>
    </xf>
    <xf numFmtId="0" fontId="2" fillId="0" borderId="0" xfId="0" applyFont="1" applyAlignment="1">
      <alignment horizontal="left"/>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496568</xdr:colOff>
      <xdr:row>17</xdr:row>
      <xdr:rowOff>76663</xdr:rowOff>
    </xdr:to>
    <xdr:pic>
      <xdr:nvPicPr>
        <xdr:cNvPr id="2" name="Imagen 1">
          <a:extLst>
            <a:ext uri="{FF2B5EF4-FFF2-40B4-BE49-F238E27FC236}">
              <a16:creationId xmlns:a16="http://schemas.microsoft.com/office/drawing/2014/main" id="{C132282F-2443-2054-F7A1-EC19D5EE8D96}"/>
            </a:ext>
          </a:extLst>
        </xdr:cNvPr>
        <xdr:cNvPicPr>
          <a:picLocks noChangeAspect="1"/>
        </xdr:cNvPicPr>
      </xdr:nvPicPr>
      <xdr:blipFill>
        <a:blip xmlns:r="http://schemas.openxmlformats.org/officeDocument/2006/relationships" r:embed="rId1"/>
        <a:stretch>
          <a:fillRect/>
        </a:stretch>
      </xdr:blipFill>
      <xdr:spPr>
        <a:xfrm>
          <a:off x="0" y="0"/>
          <a:ext cx="9088118" cy="3315163"/>
        </a:xfrm>
        <a:prstGeom prst="rect">
          <a:avLst/>
        </a:prstGeom>
      </xdr:spPr>
    </xdr:pic>
    <xdr:clientData/>
  </xdr:twoCellAnchor>
  <xdr:twoCellAnchor editAs="oneCell">
    <xdr:from>
      <xdr:col>12</xdr:col>
      <xdr:colOff>104775</xdr:colOff>
      <xdr:row>2</xdr:row>
      <xdr:rowOff>66675</xdr:rowOff>
    </xdr:from>
    <xdr:to>
      <xdr:col>19</xdr:col>
      <xdr:colOff>517525</xdr:colOff>
      <xdr:row>11</xdr:row>
      <xdr:rowOff>180653</xdr:rowOff>
    </xdr:to>
    <xdr:pic>
      <xdr:nvPicPr>
        <xdr:cNvPr id="3" name="Marcador de contenido 3">
          <a:extLst>
            <a:ext uri="{FF2B5EF4-FFF2-40B4-BE49-F238E27FC236}">
              <a16:creationId xmlns:a16="http://schemas.microsoft.com/office/drawing/2014/main" id="{8B2BAA53-3955-98DC-F457-73F0C59B8C1E}"/>
            </a:ext>
          </a:extLst>
        </xdr:cNvPr>
        <xdr:cNvPicPr>
          <a:picLocks noGrp="1"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47675"/>
          <a:ext cx="5746750" cy="18360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20010</xdr:colOff>
      <xdr:row>29</xdr:row>
      <xdr:rowOff>29377</xdr:rowOff>
    </xdr:to>
    <xdr:pic>
      <xdr:nvPicPr>
        <xdr:cNvPr id="2" name="Imagen 1">
          <a:extLst>
            <a:ext uri="{FF2B5EF4-FFF2-40B4-BE49-F238E27FC236}">
              <a16:creationId xmlns:a16="http://schemas.microsoft.com/office/drawing/2014/main" id="{C5F5A2C4-2039-00BA-8CB5-93F960D651F8}"/>
            </a:ext>
          </a:extLst>
        </xdr:cNvPr>
        <xdr:cNvPicPr>
          <a:picLocks noChangeAspect="1"/>
        </xdr:cNvPicPr>
      </xdr:nvPicPr>
      <xdr:blipFill>
        <a:blip xmlns:r="http://schemas.openxmlformats.org/officeDocument/2006/relationships" r:embed="rId1"/>
        <a:stretch>
          <a:fillRect/>
        </a:stretch>
      </xdr:blipFill>
      <xdr:spPr>
        <a:xfrm>
          <a:off x="0" y="0"/>
          <a:ext cx="6878010" cy="5744377"/>
        </a:xfrm>
        <a:prstGeom prst="rect">
          <a:avLst/>
        </a:prstGeom>
      </xdr:spPr>
    </xdr:pic>
    <xdr:clientData/>
  </xdr:twoCellAnchor>
  <xdr:twoCellAnchor editAs="oneCell">
    <xdr:from>
      <xdr:col>10</xdr:col>
      <xdr:colOff>19051</xdr:colOff>
      <xdr:row>11</xdr:row>
      <xdr:rowOff>47625</xdr:rowOff>
    </xdr:from>
    <xdr:to>
      <xdr:col>11</xdr:col>
      <xdr:colOff>123826</xdr:colOff>
      <xdr:row>13</xdr:row>
      <xdr:rowOff>160896</xdr:rowOff>
    </xdr:to>
    <xdr:pic>
      <xdr:nvPicPr>
        <xdr:cNvPr id="3" name="Imagen 2">
          <a:extLst>
            <a:ext uri="{FF2B5EF4-FFF2-40B4-BE49-F238E27FC236}">
              <a16:creationId xmlns:a16="http://schemas.microsoft.com/office/drawing/2014/main" id="{DB5CB773-D2B4-D59C-93F1-C750A43FF93A}"/>
            </a:ext>
          </a:extLst>
        </xdr:cNvPr>
        <xdr:cNvPicPr>
          <a:picLocks noChangeAspect="1"/>
        </xdr:cNvPicPr>
      </xdr:nvPicPr>
      <xdr:blipFill>
        <a:blip xmlns:r="http://schemas.openxmlformats.org/officeDocument/2006/relationships" r:embed="rId2"/>
        <a:stretch>
          <a:fillRect/>
        </a:stretch>
      </xdr:blipFill>
      <xdr:spPr>
        <a:xfrm>
          <a:off x="7639051" y="2333625"/>
          <a:ext cx="1219200" cy="494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29536</xdr:colOff>
      <xdr:row>31</xdr:row>
      <xdr:rowOff>2510</xdr:rowOff>
    </xdr:to>
    <xdr:pic>
      <xdr:nvPicPr>
        <xdr:cNvPr id="2" name="Imagen 1">
          <a:extLst>
            <a:ext uri="{FF2B5EF4-FFF2-40B4-BE49-F238E27FC236}">
              <a16:creationId xmlns:a16="http://schemas.microsoft.com/office/drawing/2014/main" id="{9A095821-7663-96FB-B5AA-308D0F0A89C7}"/>
            </a:ext>
          </a:extLst>
        </xdr:cNvPr>
        <xdr:cNvPicPr>
          <a:picLocks noChangeAspect="1"/>
        </xdr:cNvPicPr>
      </xdr:nvPicPr>
      <xdr:blipFill>
        <a:blip xmlns:r="http://schemas.openxmlformats.org/officeDocument/2006/relationships" r:embed="rId1"/>
        <a:stretch>
          <a:fillRect/>
        </a:stretch>
      </xdr:blipFill>
      <xdr:spPr>
        <a:xfrm>
          <a:off x="0" y="0"/>
          <a:ext cx="6887536" cy="5944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92331</xdr:colOff>
      <xdr:row>28</xdr:row>
      <xdr:rowOff>9525</xdr:rowOff>
    </xdr:to>
    <xdr:pic>
      <xdr:nvPicPr>
        <xdr:cNvPr id="3" name="Imagen 2">
          <a:extLst>
            <a:ext uri="{FF2B5EF4-FFF2-40B4-BE49-F238E27FC236}">
              <a16:creationId xmlns:a16="http://schemas.microsoft.com/office/drawing/2014/main" id="{C609CAD5-E677-673B-86A5-B9035CB860B5}"/>
            </a:ext>
          </a:extLst>
        </xdr:cNvPr>
        <xdr:cNvPicPr>
          <a:picLocks noChangeAspect="1"/>
        </xdr:cNvPicPr>
      </xdr:nvPicPr>
      <xdr:blipFill>
        <a:blip xmlns:r="http://schemas.openxmlformats.org/officeDocument/2006/relationships" r:embed="rId1"/>
        <a:stretch>
          <a:fillRect/>
        </a:stretch>
      </xdr:blipFill>
      <xdr:spPr>
        <a:xfrm>
          <a:off x="0" y="0"/>
          <a:ext cx="5445381" cy="5343525"/>
        </a:xfrm>
        <a:prstGeom prst="rect">
          <a:avLst/>
        </a:prstGeom>
      </xdr:spPr>
    </xdr:pic>
    <xdr:clientData/>
  </xdr:twoCellAnchor>
  <xdr:twoCellAnchor editAs="oneCell">
    <xdr:from>
      <xdr:col>7</xdr:col>
      <xdr:colOff>66675</xdr:colOff>
      <xdr:row>0</xdr:row>
      <xdr:rowOff>0</xdr:rowOff>
    </xdr:from>
    <xdr:to>
      <xdr:col>13</xdr:col>
      <xdr:colOff>419787</xdr:colOff>
      <xdr:row>37</xdr:row>
      <xdr:rowOff>20036</xdr:rowOff>
    </xdr:to>
    <xdr:pic>
      <xdr:nvPicPr>
        <xdr:cNvPr id="4" name="Imagen 3">
          <a:extLst>
            <a:ext uri="{FF2B5EF4-FFF2-40B4-BE49-F238E27FC236}">
              <a16:creationId xmlns:a16="http://schemas.microsoft.com/office/drawing/2014/main" id="{F7F36FBD-6C57-4330-C78A-C5167A30345E}"/>
            </a:ext>
          </a:extLst>
        </xdr:cNvPr>
        <xdr:cNvPicPr>
          <a:picLocks noChangeAspect="1"/>
        </xdr:cNvPicPr>
      </xdr:nvPicPr>
      <xdr:blipFill>
        <a:blip xmlns:r="http://schemas.openxmlformats.org/officeDocument/2006/relationships" r:embed="rId2"/>
        <a:stretch>
          <a:fillRect/>
        </a:stretch>
      </xdr:blipFill>
      <xdr:spPr>
        <a:xfrm>
          <a:off x="5419725" y="0"/>
          <a:ext cx="4925112" cy="7068536"/>
        </a:xfrm>
        <a:prstGeom prst="rect">
          <a:avLst/>
        </a:prstGeom>
      </xdr:spPr>
    </xdr:pic>
    <xdr:clientData/>
  </xdr:twoCellAnchor>
  <xdr:twoCellAnchor editAs="oneCell">
    <xdr:from>
      <xdr:col>0</xdr:col>
      <xdr:colOff>0</xdr:colOff>
      <xdr:row>32</xdr:row>
      <xdr:rowOff>19050</xdr:rowOff>
    </xdr:from>
    <xdr:to>
      <xdr:col>4</xdr:col>
      <xdr:colOff>209550</xdr:colOff>
      <xdr:row>37</xdr:row>
      <xdr:rowOff>153598</xdr:rowOff>
    </xdr:to>
    <xdr:pic>
      <xdr:nvPicPr>
        <xdr:cNvPr id="5" name="Imagen 4">
          <a:extLst>
            <a:ext uri="{FF2B5EF4-FFF2-40B4-BE49-F238E27FC236}">
              <a16:creationId xmlns:a16="http://schemas.microsoft.com/office/drawing/2014/main" id="{BF60F8D2-45AD-AB3F-51B3-87A23D21318D}"/>
            </a:ext>
          </a:extLst>
        </xdr:cNvPr>
        <xdr:cNvPicPr>
          <a:picLocks noChangeAspect="1"/>
        </xdr:cNvPicPr>
      </xdr:nvPicPr>
      <xdr:blipFill>
        <a:blip xmlns:r="http://schemas.openxmlformats.org/officeDocument/2006/relationships" r:embed="rId3"/>
        <a:stretch>
          <a:fillRect/>
        </a:stretch>
      </xdr:blipFill>
      <xdr:spPr>
        <a:xfrm>
          <a:off x="0" y="6115050"/>
          <a:ext cx="3276600" cy="1087048"/>
        </a:xfrm>
        <a:prstGeom prst="rect">
          <a:avLst/>
        </a:prstGeom>
      </xdr:spPr>
    </xdr:pic>
    <xdr:clientData/>
  </xdr:twoCellAnchor>
  <xdr:twoCellAnchor editAs="oneCell">
    <xdr:from>
      <xdr:col>6</xdr:col>
      <xdr:colOff>69755</xdr:colOff>
      <xdr:row>51</xdr:row>
      <xdr:rowOff>129540</xdr:rowOff>
    </xdr:from>
    <xdr:to>
      <xdr:col>13</xdr:col>
      <xdr:colOff>183713</xdr:colOff>
      <xdr:row>67</xdr:row>
      <xdr:rowOff>99060</xdr:rowOff>
    </xdr:to>
    <xdr:pic>
      <xdr:nvPicPr>
        <xdr:cNvPr id="2" name="Imagen 1">
          <a:extLst>
            <a:ext uri="{FF2B5EF4-FFF2-40B4-BE49-F238E27FC236}">
              <a16:creationId xmlns:a16="http://schemas.microsoft.com/office/drawing/2014/main" id="{941266CA-08C6-7CAB-E296-8AC630D3CCDE}"/>
            </a:ext>
          </a:extLst>
        </xdr:cNvPr>
        <xdr:cNvPicPr>
          <a:picLocks noChangeAspect="1"/>
        </xdr:cNvPicPr>
      </xdr:nvPicPr>
      <xdr:blipFill>
        <a:blip xmlns:r="http://schemas.openxmlformats.org/officeDocument/2006/relationships" r:embed="rId4"/>
        <a:stretch>
          <a:fillRect/>
        </a:stretch>
      </xdr:blipFill>
      <xdr:spPr>
        <a:xfrm>
          <a:off x="4832255" y="9639300"/>
          <a:ext cx="5661318" cy="28956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8271-B368-46B0-944D-38168B46AD99}">
  <dimension ref="B19:R44"/>
  <sheetViews>
    <sheetView topLeftCell="A4" workbookViewId="0">
      <selection activeCell="H35" sqref="H35"/>
    </sheetView>
  </sheetViews>
  <sheetFormatPr baseColWidth="10" defaultRowHeight="14.4" x14ac:dyDescent="0.3"/>
  <cols>
    <col min="3" max="3" width="13" bestFit="1" customWidth="1"/>
    <col min="10" max="10" width="13" bestFit="1" customWidth="1"/>
  </cols>
  <sheetData>
    <row r="19" spans="2:18" x14ac:dyDescent="0.3">
      <c r="K19" s="8" t="s">
        <v>17</v>
      </c>
    </row>
    <row r="20" spans="2:18" ht="28.8" x14ac:dyDescent="0.3">
      <c r="B20" s="1" t="s">
        <v>1</v>
      </c>
      <c r="C20" s="3">
        <v>600000</v>
      </c>
      <c r="F20" s="21" t="s">
        <v>6</v>
      </c>
      <c r="G20" s="21"/>
      <c r="H20" s="19" t="s">
        <v>3</v>
      </c>
      <c r="I20" s="19"/>
      <c r="J20" s="6">
        <f>C22</f>
        <v>200000</v>
      </c>
      <c r="K20" s="20">
        <f>J20/J21</f>
        <v>120</v>
      </c>
      <c r="L20" s="17" t="s">
        <v>9</v>
      </c>
      <c r="M20" s="17"/>
      <c r="N20" s="17"/>
      <c r="O20" s="17"/>
      <c r="P20" s="17"/>
      <c r="Q20" s="17"/>
    </row>
    <row r="21" spans="2:18" ht="28.8" x14ac:dyDescent="0.3">
      <c r="B21" s="1" t="s">
        <v>2</v>
      </c>
      <c r="C21" s="3">
        <v>150000</v>
      </c>
      <c r="F21" s="21"/>
      <c r="G21" s="21"/>
      <c r="H21" s="20" t="s">
        <v>7</v>
      </c>
      <c r="I21" s="20"/>
      <c r="J21" s="6">
        <f>C20/360</f>
        <v>1666.6666666666667</v>
      </c>
      <c r="K21" s="20"/>
      <c r="L21" s="17"/>
      <c r="M21" s="17"/>
      <c r="N21" s="17"/>
      <c r="O21" s="17"/>
      <c r="P21" s="17"/>
      <c r="Q21" s="17"/>
    </row>
    <row r="22" spans="2:18" x14ac:dyDescent="0.3">
      <c r="B22" s="1" t="s">
        <v>3</v>
      </c>
      <c r="C22" s="3">
        <v>200000</v>
      </c>
    </row>
    <row r="23" spans="2:18" ht="43.2" x14ac:dyDescent="0.3">
      <c r="B23" s="1" t="s">
        <v>4</v>
      </c>
      <c r="C23" s="3">
        <v>850000</v>
      </c>
      <c r="F23" s="21" t="s">
        <v>8</v>
      </c>
      <c r="G23" s="21"/>
      <c r="H23" s="19" t="s">
        <v>11</v>
      </c>
      <c r="I23" s="19"/>
      <c r="J23" s="6">
        <f>C24</f>
        <v>100000</v>
      </c>
      <c r="K23" s="20">
        <f>J23/J24</f>
        <v>42.352941176470587</v>
      </c>
      <c r="L23" s="18" t="s">
        <v>10</v>
      </c>
      <c r="M23" s="18"/>
      <c r="N23" s="18"/>
      <c r="O23" s="18"/>
      <c r="P23" s="18"/>
      <c r="Q23" s="18"/>
      <c r="R23" s="18"/>
    </row>
    <row r="24" spans="2:18" ht="28.8" x14ac:dyDescent="0.3">
      <c r="B24" s="1" t="s">
        <v>5</v>
      </c>
      <c r="C24" s="3">
        <v>100000</v>
      </c>
      <c r="F24" s="21"/>
      <c r="G24" s="21"/>
      <c r="H24" s="18" t="s">
        <v>12</v>
      </c>
      <c r="I24" s="18"/>
      <c r="J24" s="6">
        <f>C23/360</f>
        <v>2361.1111111111113</v>
      </c>
      <c r="K24" s="20"/>
      <c r="L24" s="18"/>
      <c r="M24" s="18"/>
      <c r="N24" s="18"/>
      <c r="O24" s="18"/>
      <c r="P24" s="18"/>
      <c r="Q24" s="18"/>
      <c r="R24" s="18"/>
    </row>
    <row r="26" spans="2:18" x14ac:dyDescent="0.3">
      <c r="F26" s="23" t="s">
        <v>13</v>
      </c>
      <c r="G26" s="23"/>
      <c r="H26" s="19" t="s">
        <v>15</v>
      </c>
      <c r="I26" s="19"/>
      <c r="J26" s="6">
        <f>C21</f>
        <v>150000</v>
      </c>
      <c r="K26" s="20">
        <f>J26/J27</f>
        <v>90</v>
      </c>
      <c r="L26" s="18" t="s">
        <v>14</v>
      </c>
      <c r="M26" s="18"/>
      <c r="N26" s="18"/>
      <c r="O26" s="18"/>
      <c r="P26" s="18"/>
      <c r="Q26" s="18"/>
    </row>
    <row r="27" spans="2:18" x14ac:dyDescent="0.3">
      <c r="F27" s="23"/>
      <c r="G27" s="23"/>
      <c r="H27" s="20" t="s">
        <v>16</v>
      </c>
      <c r="I27" s="20"/>
      <c r="J27" s="6">
        <f>C20/360</f>
        <v>1666.6666666666667</v>
      </c>
      <c r="K27" s="20"/>
      <c r="L27" s="18"/>
      <c r="M27" s="18"/>
      <c r="N27" s="18"/>
      <c r="O27" s="18"/>
      <c r="P27" s="18"/>
      <c r="Q27" s="18"/>
    </row>
    <row r="28" spans="2:18" x14ac:dyDescent="0.3">
      <c r="L28" s="18"/>
      <c r="M28" s="18"/>
      <c r="N28" s="18"/>
      <c r="O28" s="18"/>
      <c r="P28" s="18"/>
      <c r="Q28" s="18"/>
    </row>
    <row r="30" spans="2:18" x14ac:dyDescent="0.3">
      <c r="F30" s="22" t="s">
        <v>18</v>
      </c>
      <c r="G30" s="22"/>
      <c r="H30" s="20">
        <f>K20+K23-K26</f>
        <v>72.35294117647058</v>
      </c>
      <c r="I30" t="s">
        <v>76</v>
      </c>
      <c r="J30" s="24" t="s">
        <v>77</v>
      </c>
      <c r="K30" s="24"/>
      <c r="L30" s="24"/>
      <c r="M30" s="24"/>
      <c r="N30" s="24"/>
    </row>
    <row r="31" spans="2:18" x14ac:dyDescent="0.3">
      <c r="F31" s="22"/>
      <c r="G31" s="22"/>
      <c r="H31" s="20"/>
      <c r="J31" s="24"/>
      <c r="K31" s="24"/>
      <c r="L31" s="24"/>
      <c r="M31" s="24"/>
      <c r="N31" s="24"/>
    </row>
    <row r="32" spans="2:18" x14ac:dyDescent="0.3">
      <c r="J32" s="24"/>
      <c r="K32" s="24"/>
      <c r="L32" s="24"/>
      <c r="M32" s="24"/>
      <c r="N32" s="24"/>
    </row>
    <row r="33" spans="2:10" x14ac:dyDescent="0.3">
      <c r="B33" s="17" t="s">
        <v>75</v>
      </c>
      <c r="C33" s="17"/>
      <c r="D33" s="17"/>
      <c r="E33" s="17"/>
      <c r="F33" s="17"/>
    </row>
    <row r="34" spans="2:10" x14ac:dyDescent="0.3">
      <c r="B34" s="17"/>
      <c r="C34" s="17"/>
      <c r="D34" s="17"/>
      <c r="E34" s="17"/>
      <c r="F34" s="17"/>
    </row>
    <row r="35" spans="2:10" x14ac:dyDescent="0.3">
      <c r="B35" s="17"/>
      <c r="C35" s="17"/>
      <c r="D35" s="17"/>
      <c r="E35" s="17"/>
      <c r="F35" s="17"/>
    </row>
    <row r="36" spans="2:10" x14ac:dyDescent="0.3">
      <c r="B36" s="17"/>
      <c r="C36" s="17"/>
      <c r="D36" s="17"/>
      <c r="E36" s="17"/>
      <c r="F36" s="17"/>
    </row>
    <row r="37" spans="2:10" x14ac:dyDescent="0.3">
      <c r="B37" s="17"/>
      <c r="C37" s="17"/>
      <c r="D37" s="17"/>
      <c r="E37" s="17"/>
      <c r="F37" s="17"/>
    </row>
    <row r="38" spans="2:10" x14ac:dyDescent="0.3">
      <c r="B38" s="17"/>
      <c r="C38" s="17"/>
      <c r="D38" s="17"/>
      <c r="E38" s="17"/>
      <c r="F38" s="17"/>
    </row>
    <row r="40" spans="2:10" x14ac:dyDescent="0.3">
      <c r="B40" s="17" t="s">
        <v>78</v>
      </c>
      <c r="C40" s="17"/>
      <c r="D40" s="17"/>
      <c r="E40" s="17"/>
      <c r="F40" s="17"/>
      <c r="G40" s="17"/>
      <c r="H40" s="17"/>
      <c r="I40" s="17"/>
      <c r="J40" s="17"/>
    </row>
    <row r="41" spans="2:10" x14ac:dyDescent="0.3">
      <c r="B41" s="17"/>
      <c r="C41" s="17"/>
      <c r="D41" s="17"/>
      <c r="E41" s="17"/>
      <c r="F41" s="17"/>
      <c r="G41" s="17"/>
      <c r="H41" s="17"/>
      <c r="I41" s="17"/>
      <c r="J41" s="17"/>
    </row>
    <row r="42" spans="2:10" x14ac:dyDescent="0.3">
      <c r="B42" s="17"/>
      <c r="C42" s="17"/>
      <c r="D42" s="17"/>
      <c r="E42" s="17"/>
      <c r="F42" s="17"/>
      <c r="G42" s="17"/>
      <c r="H42" s="17"/>
      <c r="I42" s="17"/>
      <c r="J42" s="17"/>
    </row>
    <row r="43" spans="2:10" x14ac:dyDescent="0.3">
      <c r="B43" s="17"/>
      <c r="C43" s="17"/>
      <c r="D43" s="17"/>
      <c r="E43" s="17"/>
      <c r="F43" s="17"/>
      <c r="G43" s="17"/>
      <c r="H43" s="17"/>
      <c r="I43" s="17"/>
      <c r="J43" s="17"/>
    </row>
    <row r="44" spans="2:10" x14ac:dyDescent="0.3">
      <c r="B44" s="17"/>
      <c r="C44" s="17"/>
      <c r="D44" s="17"/>
      <c r="E44" s="17"/>
      <c r="F44" s="17"/>
      <c r="G44" s="17"/>
      <c r="H44" s="17"/>
      <c r="I44" s="17"/>
      <c r="J44" s="17"/>
    </row>
  </sheetData>
  <mergeCells count="20">
    <mergeCell ref="H24:I24"/>
    <mergeCell ref="K23:K24"/>
    <mergeCell ref="L23:R24"/>
    <mergeCell ref="K20:K21"/>
    <mergeCell ref="F23:G24"/>
    <mergeCell ref="F20:G21"/>
    <mergeCell ref="H20:I20"/>
    <mergeCell ref="H21:I21"/>
    <mergeCell ref="L20:Q21"/>
    <mergeCell ref="H23:I23"/>
    <mergeCell ref="B40:J44"/>
    <mergeCell ref="L26:Q28"/>
    <mergeCell ref="H26:I26"/>
    <mergeCell ref="H27:I27"/>
    <mergeCell ref="K26:K27"/>
    <mergeCell ref="F30:G31"/>
    <mergeCell ref="H30:H31"/>
    <mergeCell ref="B33:F38"/>
    <mergeCell ref="F26:G27"/>
    <mergeCell ref="J30:N32"/>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F71F-5282-417E-8CE1-716DA5899FC0}">
  <dimension ref="K2:W28"/>
  <sheetViews>
    <sheetView topLeftCell="E1" zoomScale="85" zoomScaleNormal="85" workbookViewId="0">
      <selection activeCell="S11" sqref="S11:W13"/>
    </sheetView>
  </sheetViews>
  <sheetFormatPr baseColWidth="10" defaultRowHeight="14.4" x14ac:dyDescent="0.3"/>
  <cols>
    <col min="11" max="11" width="16.6640625" customWidth="1"/>
    <col min="12" max="21" width="13" bestFit="1" customWidth="1"/>
    <col min="22" max="22" width="12.77734375" bestFit="1" customWidth="1"/>
    <col min="23" max="23" width="13" bestFit="1" customWidth="1"/>
  </cols>
  <sheetData>
    <row r="2" spans="11:23" ht="28.8" x14ac:dyDescent="0.3">
      <c r="M2" s="1" t="s">
        <v>0</v>
      </c>
      <c r="N2" s="2">
        <v>75000</v>
      </c>
      <c r="O2" s="2">
        <f>N2*2</f>
        <v>150000</v>
      </c>
    </row>
    <row r="4" spans="11:23" x14ac:dyDescent="0.3">
      <c r="L4" t="s">
        <v>19</v>
      </c>
      <c r="M4" t="s">
        <v>20</v>
      </c>
      <c r="N4" t="s">
        <v>21</v>
      </c>
      <c r="O4" t="s">
        <v>22</v>
      </c>
      <c r="P4" t="s">
        <v>23</v>
      </c>
      <c r="Q4" t="s">
        <v>24</v>
      </c>
      <c r="R4" t="s">
        <v>25</v>
      </c>
      <c r="S4" t="s">
        <v>26</v>
      </c>
      <c r="T4" t="s">
        <v>27</v>
      </c>
      <c r="U4" t="s">
        <v>28</v>
      </c>
      <c r="V4" t="s">
        <v>29</v>
      </c>
      <c r="W4" t="s">
        <v>30</v>
      </c>
    </row>
    <row r="5" spans="11:23" x14ac:dyDescent="0.3">
      <c r="K5" t="s">
        <v>31</v>
      </c>
      <c r="L5" s="2">
        <v>-37400</v>
      </c>
      <c r="M5" s="2">
        <v>-33320</v>
      </c>
      <c r="N5" s="2">
        <v>-31900</v>
      </c>
      <c r="O5" s="2">
        <v>-28500</v>
      </c>
      <c r="P5" s="2">
        <v>-25000</v>
      </c>
      <c r="Q5" s="2">
        <v>-20000</v>
      </c>
      <c r="R5" s="2">
        <v>10000</v>
      </c>
      <c r="S5" s="2">
        <v>13000</v>
      </c>
      <c r="T5" s="2">
        <v>18000</v>
      </c>
      <c r="U5" s="2">
        <v>21000</v>
      </c>
      <c r="V5" s="2">
        <v>25000</v>
      </c>
      <c r="W5" s="2">
        <v>32000</v>
      </c>
    </row>
    <row r="6" spans="11:23" x14ac:dyDescent="0.3">
      <c r="K6" t="s">
        <v>32</v>
      </c>
      <c r="L6" s="2">
        <f>L5</f>
        <v>-37400</v>
      </c>
      <c r="M6" s="2">
        <f t="shared" ref="M6:W6" si="0">L6+M5</f>
        <v>-70720</v>
      </c>
      <c r="N6" s="2">
        <f t="shared" si="0"/>
        <v>-102620</v>
      </c>
      <c r="O6" s="2">
        <f t="shared" si="0"/>
        <v>-131120</v>
      </c>
      <c r="P6" s="2">
        <f t="shared" si="0"/>
        <v>-156120</v>
      </c>
      <c r="Q6" s="2">
        <f t="shared" si="0"/>
        <v>-176120</v>
      </c>
      <c r="R6" s="2">
        <f t="shared" si="0"/>
        <v>-166120</v>
      </c>
      <c r="S6" s="2">
        <f t="shared" si="0"/>
        <v>-153120</v>
      </c>
      <c r="T6" s="2">
        <f t="shared" si="0"/>
        <v>-135120</v>
      </c>
      <c r="U6" s="2">
        <f t="shared" si="0"/>
        <v>-114120</v>
      </c>
      <c r="V6" s="2">
        <f t="shared" si="0"/>
        <v>-89120</v>
      </c>
      <c r="W6" s="2">
        <f t="shared" si="0"/>
        <v>-57120</v>
      </c>
    </row>
    <row r="9" spans="11:23" x14ac:dyDescent="0.3">
      <c r="K9" t="s">
        <v>33</v>
      </c>
      <c r="O9" s="25" t="s">
        <v>36</v>
      </c>
      <c r="P9" s="25"/>
      <c r="Q9" s="2" t="s">
        <v>79</v>
      </c>
      <c r="R9" t="s">
        <v>80</v>
      </c>
    </row>
    <row r="10" spans="11:23" x14ac:dyDescent="0.3">
      <c r="K10" t="s">
        <v>34</v>
      </c>
      <c r="O10" s="25"/>
      <c r="P10" s="25"/>
    </row>
    <row r="11" spans="11:23" x14ac:dyDescent="0.3">
      <c r="K11" t="s">
        <v>35</v>
      </c>
      <c r="S11" s="24" t="s">
        <v>39</v>
      </c>
      <c r="T11" s="24"/>
      <c r="U11" s="24"/>
      <c r="V11" s="24"/>
      <c r="W11" s="24"/>
    </row>
    <row r="12" spans="11:23" ht="15" customHeight="1" x14ac:dyDescent="0.3">
      <c r="O12" s="26" t="s">
        <v>37</v>
      </c>
      <c r="P12" s="26"/>
      <c r="Q12" s="2">
        <f>Q6*-1</f>
        <v>176120</v>
      </c>
      <c r="R12" t="s">
        <v>38</v>
      </c>
      <c r="S12" s="24"/>
      <c r="T12" s="24"/>
      <c r="U12" s="24"/>
      <c r="V12" s="24"/>
      <c r="W12" s="24"/>
    </row>
    <row r="13" spans="11:23" x14ac:dyDescent="0.3">
      <c r="S13" s="24"/>
      <c r="T13" s="24"/>
      <c r="U13" s="24"/>
      <c r="V13" s="24"/>
      <c r="W13" s="24"/>
    </row>
    <row r="16" spans="11:23" x14ac:dyDescent="0.3">
      <c r="L16" t="s">
        <v>19</v>
      </c>
      <c r="M16" t="s">
        <v>20</v>
      </c>
      <c r="N16" t="s">
        <v>21</v>
      </c>
      <c r="O16" t="s">
        <v>22</v>
      </c>
      <c r="P16" t="s">
        <v>23</v>
      </c>
      <c r="Q16" t="s">
        <v>24</v>
      </c>
      <c r="R16" t="s">
        <v>25</v>
      </c>
      <c r="S16" t="s">
        <v>26</v>
      </c>
      <c r="T16" t="s">
        <v>27</v>
      </c>
      <c r="U16" t="s">
        <v>28</v>
      </c>
      <c r="V16" t="s">
        <v>29</v>
      </c>
      <c r="W16" t="s">
        <v>30</v>
      </c>
    </row>
    <row r="17" spans="11:23" x14ac:dyDescent="0.3">
      <c r="K17" t="s">
        <v>31</v>
      </c>
      <c r="L17" s="2">
        <v>-37400</v>
      </c>
      <c r="M17" s="2">
        <v>-33320</v>
      </c>
      <c r="N17" s="2">
        <v>-31900</v>
      </c>
      <c r="O17" s="2">
        <v>-28500</v>
      </c>
      <c r="P17" s="2">
        <v>-25000</v>
      </c>
      <c r="Q17" s="2">
        <v>-20000</v>
      </c>
      <c r="R17" s="2">
        <v>10000</v>
      </c>
      <c r="S17" s="2">
        <v>13000</v>
      </c>
      <c r="T17" s="2">
        <v>18000</v>
      </c>
      <c r="U17" s="2">
        <v>21000</v>
      </c>
      <c r="V17" s="2">
        <v>25000</v>
      </c>
      <c r="W17" s="2">
        <v>32000</v>
      </c>
    </row>
    <row r="18" spans="11:23" x14ac:dyDescent="0.3">
      <c r="K18" t="s">
        <v>0</v>
      </c>
      <c r="L18" s="2">
        <v>180000</v>
      </c>
      <c r="M18" s="2"/>
      <c r="N18" s="2"/>
      <c r="O18" s="2"/>
      <c r="P18" s="2"/>
      <c r="Q18" s="2"/>
      <c r="R18" s="2"/>
      <c r="S18" s="2"/>
      <c r="T18" s="2"/>
      <c r="U18" s="2"/>
      <c r="V18" s="2"/>
      <c r="W18" s="2"/>
    </row>
    <row r="19" spans="11:23" x14ac:dyDescent="0.3">
      <c r="K19" t="s">
        <v>32</v>
      </c>
      <c r="L19" s="2">
        <f>L17+L18</f>
        <v>142600</v>
      </c>
      <c r="M19" s="2">
        <f t="shared" ref="M19:W19" si="1">L19+M17</f>
        <v>109280</v>
      </c>
      <c r="N19" s="2">
        <f t="shared" si="1"/>
        <v>77380</v>
      </c>
      <c r="O19" s="2">
        <f t="shared" si="1"/>
        <v>48880</v>
      </c>
      <c r="P19" s="2">
        <f t="shared" si="1"/>
        <v>23880</v>
      </c>
      <c r="Q19" s="2">
        <f t="shared" si="1"/>
        <v>3880</v>
      </c>
      <c r="R19" s="2">
        <f t="shared" si="1"/>
        <v>13880</v>
      </c>
      <c r="S19" s="2">
        <f t="shared" si="1"/>
        <v>26880</v>
      </c>
      <c r="T19" s="2">
        <f t="shared" si="1"/>
        <v>44880</v>
      </c>
      <c r="U19" s="2">
        <f t="shared" si="1"/>
        <v>65880</v>
      </c>
      <c r="V19" s="2">
        <f t="shared" si="1"/>
        <v>90880</v>
      </c>
      <c r="W19" s="2">
        <f t="shared" si="1"/>
        <v>122880</v>
      </c>
    </row>
    <row r="20" spans="11:23" x14ac:dyDescent="0.3">
      <c r="K20" s="3">
        <v>-6000</v>
      </c>
      <c r="L20" s="2">
        <f>L17+$K$20</f>
        <v>-43400</v>
      </c>
      <c r="M20" s="2">
        <f t="shared" ref="M20:W20" si="2">M17+$K$20</f>
        <v>-39320</v>
      </c>
      <c r="N20" s="2">
        <f t="shared" si="2"/>
        <v>-37900</v>
      </c>
      <c r="O20" s="2">
        <f t="shared" si="2"/>
        <v>-34500</v>
      </c>
      <c r="P20" s="2">
        <f t="shared" si="2"/>
        <v>-31000</v>
      </c>
      <c r="Q20" s="2">
        <f t="shared" si="2"/>
        <v>-26000</v>
      </c>
      <c r="R20" s="2">
        <f t="shared" si="2"/>
        <v>4000</v>
      </c>
      <c r="S20" s="2">
        <f t="shared" si="2"/>
        <v>7000</v>
      </c>
      <c r="T20" s="2">
        <f t="shared" si="2"/>
        <v>12000</v>
      </c>
      <c r="U20" s="2">
        <f t="shared" si="2"/>
        <v>15000</v>
      </c>
      <c r="V20" s="2">
        <f t="shared" si="2"/>
        <v>19000</v>
      </c>
      <c r="W20" s="2">
        <f t="shared" si="2"/>
        <v>26000</v>
      </c>
    </row>
    <row r="21" spans="11:23" x14ac:dyDescent="0.3">
      <c r="L21" s="3">
        <v>180000</v>
      </c>
    </row>
    <row r="22" spans="11:23" x14ac:dyDescent="0.3">
      <c r="L22" s="2">
        <f>L20+L21</f>
        <v>136600</v>
      </c>
      <c r="M22" s="2">
        <f>M20+$L$21</f>
        <v>140680</v>
      </c>
      <c r="N22" s="2">
        <f t="shared" ref="N22:W22" si="3">N20+$L$21</f>
        <v>142100</v>
      </c>
      <c r="O22" s="2">
        <f t="shared" si="3"/>
        <v>145500</v>
      </c>
      <c r="P22" s="2">
        <f t="shared" si="3"/>
        <v>149000</v>
      </c>
      <c r="Q22" s="2">
        <f t="shared" si="3"/>
        <v>154000</v>
      </c>
      <c r="R22" s="2">
        <f>R20+$L$21</f>
        <v>184000</v>
      </c>
      <c r="S22" s="2">
        <f t="shared" si="3"/>
        <v>187000</v>
      </c>
      <c r="T22" s="2">
        <f t="shared" si="3"/>
        <v>192000</v>
      </c>
      <c r="U22" s="2">
        <f t="shared" si="3"/>
        <v>195000</v>
      </c>
      <c r="V22" s="2">
        <f t="shared" si="3"/>
        <v>199000</v>
      </c>
      <c r="W22" s="2">
        <f t="shared" si="3"/>
        <v>206000</v>
      </c>
    </row>
    <row r="23" spans="11:23" x14ac:dyDescent="0.3">
      <c r="K23" s="17" t="s">
        <v>81</v>
      </c>
      <c r="L23" s="17"/>
      <c r="M23" s="17"/>
      <c r="N23" s="17"/>
      <c r="O23" s="17"/>
      <c r="P23" s="17"/>
      <c r="Q23" s="17"/>
      <c r="R23" s="17"/>
      <c r="S23" s="17"/>
      <c r="T23" s="17"/>
    </row>
    <row r="24" spans="11:23" x14ac:dyDescent="0.3">
      <c r="K24" s="17"/>
      <c r="L24" s="17"/>
      <c r="M24" s="17"/>
      <c r="N24" s="17"/>
      <c r="O24" s="17"/>
      <c r="P24" s="17"/>
      <c r="Q24" s="17"/>
      <c r="R24" s="17"/>
      <c r="S24" s="17"/>
      <c r="T24" s="17"/>
    </row>
    <row r="25" spans="11:23" x14ac:dyDescent="0.3">
      <c r="K25" s="17"/>
      <c r="L25" s="17"/>
      <c r="M25" s="17"/>
      <c r="N25" s="17"/>
      <c r="O25" s="17"/>
      <c r="P25" s="17"/>
      <c r="Q25" s="17"/>
      <c r="R25" s="17"/>
      <c r="S25" s="17"/>
      <c r="T25" s="17"/>
    </row>
    <row r="26" spans="11:23" x14ac:dyDescent="0.3">
      <c r="K26" s="17"/>
      <c r="L26" s="17"/>
      <c r="M26" s="17"/>
      <c r="N26" s="17"/>
      <c r="O26" s="17"/>
      <c r="P26" s="17"/>
      <c r="Q26" s="17"/>
      <c r="R26" s="17"/>
      <c r="S26" s="17"/>
      <c r="T26" s="17"/>
    </row>
    <row r="27" spans="11:23" x14ac:dyDescent="0.3">
      <c r="K27" s="17"/>
      <c r="L27" s="17"/>
      <c r="M27" s="17"/>
      <c r="N27" s="17"/>
      <c r="O27" s="17"/>
      <c r="P27" s="17"/>
      <c r="Q27" s="17"/>
      <c r="R27" s="17"/>
      <c r="S27" s="17"/>
      <c r="T27" s="17"/>
    </row>
    <row r="28" spans="11:23" x14ac:dyDescent="0.3">
      <c r="K28" s="17"/>
      <c r="L28" s="17"/>
      <c r="M28" s="17"/>
      <c r="N28" s="17"/>
      <c r="O28" s="17"/>
      <c r="P28" s="17"/>
      <c r="Q28" s="17"/>
      <c r="R28" s="17"/>
      <c r="S28" s="17"/>
      <c r="T28" s="17"/>
    </row>
  </sheetData>
  <mergeCells count="4">
    <mergeCell ref="O9:P10"/>
    <mergeCell ref="O12:P12"/>
    <mergeCell ref="S11:W13"/>
    <mergeCell ref="K23:T28"/>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7731-9186-43B9-A0B9-77BBB9703A4F}">
  <dimension ref="C1:P40"/>
  <sheetViews>
    <sheetView topLeftCell="H9" zoomScale="85" zoomScaleNormal="85" workbookViewId="0">
      <selection activeCell="O37" sqref="O37"/>
    </sheetView>
  </sheetViews>
  <sheetFormatPr baseColWidth="10" defaultRowHeight="14.4" x14ac:dyDescent="0.3"/>
  <cols>
    <col min="11" max="11" width="12.44140625" customWidth="1"/>
    <col min="12" max="12" width="14.5546875" bestFit="1" customWidth="1"/>
    <col min="13" max="13" width="13" customWidth="1"/>
    <col min="14" max="14" width="12" bestFit="1" customWidth="1"/>
    <col min="15" max="15" width="13" bestFit="1" customWidth="1"/>
  </cols>
  <sheetData>
    <row r="1" spans="10:16" x14ac:dyDescent="0.3">
      <c r="K1" s="27" t="s">
        <v>43</v>
      </c>
      <c r="L1" s="27"/>
      <c r="M1" s="27"/>
      <c r="N1" s="27"/>
    </row>
    <row r="2" spans="10:16" x14ac:dyDescent="0.3">
      <c r="K2" t="s">
        <v>44</v>
      </c>
      <c r="L2" s="3">
        <f>12.5*125000</f>
        <v>1562500</v>
      </c>
    </row>
    <row r="3" spans="10:16" x14ac:dyDescent="0.3">
      <c r="K3" t="s">
        <v>45</v>
      </c>
      <c r="L3" s="3">
        <f>12.5*152000</f>
        <v>1900000</v>
      </c>
    </row>
    <row r="5" spans="10:16" ht="18.75" customHeight="1" x14ac:dyDescent="0.3">
      <c r="K5" s="10" t="s">
        <v>40</v>
      </c>
      <c r="L5" s="11"/>
      <c r="M5" s="9"/>
    </row>
    <row r="6" spans="10:16" x14ac:dyDescent="0.3">
      <c r="K6">
        <f>365/20</f>
        <v>18.25</v>
      </c>
      <c r="L6" t="s">
        <v>41</v>
      </c>
    </row>
    <row r="7" spans="10:16" x14ac:dyDescent="0.3">
      <c r="K7">
        <f>365/28</f>
        <v>13.035714285714286</v>
      </c>
      <c r="L7" t="s">
        <v>42</v>
      </c>
    </row>
    <row r="8" spans="10:16" x14ac:dyDescent="0.3">
      <c r="K8" s="7"/>
      <c r="L8" s="7"/>
    </row>
    <row r="9" spans="10:16" x14ac:dyDescent="0.3">
      <c r="K9" s="10" t="s">
        <v>46</v>
      </c>
      <c r="L9" s="7"/>
    </row>
    <row r="10" spans="10:16" ht="15" customHeight="1" x14ac:dyDescent="0.3">
      <c r="K10" s="7" t="s">
        <v>47</v>
      </c>
      <c r="L10" s="12">
        <f>L2/K6</f>
        <v>85616.438356164377</v>
      </c>
    </row>
    <row r="11" spans="10:16" x14ac:dyDescent="0.3">
      <c r="K11" t="s">
        <v>45</v>
      </c>
      <c r="L11" s="6">
        <f>L3/K7</f>
        <v>145753.42465753423</v>
      </c>
    </row>
    <row r="13" spans="10:16" x14ac:dyDescent="0.3">
      <c r="K13" s="9" t="s">
        <v>48</v>
      </c>
    </row>
    <row r="14" spans="10:16" x14ac:dyDescent="0.3">
      <c r="K14" t="s">
        <v>49</v>
      </c>
      <c r="O14" s="6">
        <f>L11</f>
        <v>145753.42465753423</v>
      </c>
    </row>
    <row r="15" spans="10:16" x14ac:dyDescent="0.3">
      <c r="K15" t="s">
        <v>50</v>
      </c>
      <c r="N15" s="6">
        <f>L10</f>
        <v>85616.438356164377</v>
      </c>
    </row>
    <row r="16" spans="10:16" x14ac:dyDescent="0.3">
      <c r="J16" s="16" t="s">
        <v>82</v>
      </c>
      <c r="K16" t="s">
        <v>51</v>
      </c>
      <c r="O16" s="13">
        <f>O14-N15</f>
        <v>60136.986301369849</v>
      </c>
      <c r="P16" t="s">
        <v>85</v>
      </c>
    </row>
    <row r="17" spans="10:16" x14ac:dyDescent="0.3">
      <c r="K17" t="s">
        <v>52</v>
      </c>
      <c r="O17">
        <v>0.12</v>
      </c>
    </row>
    <row r="18" spans="10:16" x14ac:dyDescent="0.3">
      <c r="J18" s="16" t="s">
        <v>82</v>
      </c>
      <c r="K18" t="s">
        <v>53</v>
      </c>
      <c r="O18" s="6">
        <f>O17*O16</f>
        <v>7216.4383561643817</v>
      </c>
      <c r="P18" t="s">
        <v>84</v>
      </c>
    </row>
    <row r="23" spans="10:16" x14ac:dyDescent="0.3">
      <c r="K23" s="9" t="s">
        <v>87</v>
      </c>
    </row>
    <row r="25" spans="10:16" x14ac:dyDescent="0.3">
      <c r="K25" s="9" t="s">
        <v>88</v>
      </c>
    </row>
    <row r="27" spans="10:16" x14ac:dyDescent="0.3">
      <c r="K27" s="9" t="s">
        <v>89</v>
      </c>
    </row>
    <row r="29" spans="10:16" x14ac:dyDescent="0.3">
      <c r="K29" s="9" t="s">
        <v>90</v>
      </c>
    </row>
    <row r="31" spans="10:16" x14ac:dyDescent="0.3">
      <c r="K31" t="s">
        <v>91</v>
      </c>
    </row>
    <row r="33" spans="3:8" x14ac:dyDescent="0.3">
      <c r="C33" s="17" t="s">
        <v>86</v>
      </c>
      <c r="D33" s="17"/>
      <c r="E33" s="17"/>
      <c r="F33" s="17"/>
      <c r="G33" s="17"/>
      <c r="H33" s="17"/>
    </row>
    <row r="34" spans="3:8" x14ac:dyDescent="0.3">
      <c r="C34" s="17"/>
      <c r="D34" s="17"/>
      <c r="E34" s="17"/>
      <c r="F34" s="17"/>
      <c r="G34" s="17"/>
      <c r="H34" s="17"/>
    </row>
    <row r="35" spans="3:8" x14ac:dyDescent="0.3">
      <c r="C35" s="17"/>
      <c r="D35" s="17"/>
      <c r="E35" s="17"/>
      <c r="F35" s="17"/>
      <c r="G35" s="17"/>
      <c r="H35" s="17"/>
    </row>
    <row r="36" spans="3:8" x14ac:dyDescent="0.3">
      <c r="C36" s="17"/>
      <c r="D36" s="17"/>
      <c r="E36" s="17"/>
      <c r="F36" s="17"/>
      <c r="G36" s="17"/>
      <c r="H36" s="17"/>
    </row>
    <row r="37" spans="3:8" x14ac:dyDescent="0.3">
      <c r="C37" s="17"/>
      <c r="D37" s="17"/>
      <c r="E37" s="17"/>
      <c r="F37" s="17"/>
      <c r="G37" s="17"/>
      <c r="H37" s="17"/>
    </row>
    <row r="38" spans="3:8" x14ac:dyDescent="0.3">
      <c r="C38" s="17"/>
      <c r="D38" s="17"/>
      <c r="E38" s="17"/>
      <c r="F38" s="17"/>
      <c r="G38" s="17"/>
      <c r="H38" s="17"/>
    </row>
    <row r="39" spans="3:8" x14ac:dyDescent="0.3">
      <c r="C39" s="17"/>
      <c r="D39" s="17"/>
      <c r="E39" s="17"/>
      <c r="F39" s="17"/>
      <c r="G39" s="17"/>
      <c r="H39" s="17"/>
    </row>
    <row r="40" spans="3:8" x14ac:dyDescent="0.3">
      <c r="C40" s="17"/>
      <c r="D40" s="17"/>
      <c r="E40" s="17"/>
      <c r="F40" s="17"/>
      <c r="G40" s="17"/>
      <c r="H40" s="17"/>
    </row>
  </sheetData>
  <mergeCells count="2">
    <mergeCell ref="K1:N1"/>
    <mergeCell ref="C33:H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8C1CF-5271-433E-991A-5EBC8C71AC92}">
  <dimension ref="A1:U69"/>
  <sheetViews>
    <sheetView tabSelected="1" topLeftCell="N25" workbookViewId="0">
      <selection activeCell="P39" sqref="P39:U44"/>
    </sheetView>
  </sheetViews>
  <sheetFormatPr baseColWidth="10" defaultRowHeight="14.4" x14ac:dyDescent="0.3"/>
  <cols>
    <col min="2" max="2" width="11.6640625" bestFit="1" customWidth="1"/>
    <col min="16" max="16" width="13.109375" customWidth="1"/>
    <col min="17" max="17" width="13" bestFit="1" customWidth="1"/>
    <col min="19" max="19" width="14.44140625" customWidth="1"/>
    <col min="21" max="21" width="12" bestFit="1" customWidth="1"/>
  </cols>
  <sheetData>
    <row r="1" spans="1:19" x14ac:dyDescent="0.3">
      <c r="O1" s="9" t="s">
        <v>57</v>
      </c>
    </row>
    <row r="2" spans="1:19" x14ac:dyDescent="0.3">
      <c r="P2" s="9" t="s">
        <v>58</v>
      </c>
    </row>
    <row r="4" spans="1:19" x14ac:dyDescent="0.3">
      <c r="P4" t="s">
        <v>59</v>
      </c>
    </row>
    <row r="5" spans="1:19" x14ac:dyDescent="0.3">
      <c r="P5" t="s">
        <v>44</v>
      </c>
      <c r="Q5" s="3">
        <v>444.9</v>
      </c>
      <c r="R5">
        <v>200</v>
      </c>
      <c r="S5" s="6">
        <f>Q5*R5</f>
        <v>88980</v>
      </c>
    </row>
    <row r="6" spans="1:19" x14ac:dyDescent="0.3">
      <c r="P6" t="s">
        <v>45</v>
      </c>
      <c r="Q6" s="3">
        <v>444.9</v>
      </c>
      <c r="R6">
        <v>235</v>
      </c>
      <c r="S6" s="6">
        <f>Q6*R6</f>
        <v>104551.5</v>
      </c>
    </row>
    <row r="8" spans="1:19" x14ac:dyDescent="0.3">
      <c r="P8" t="s">
        <v>60</v>
      </c>
    </row>
    <row r="9" spans="1:19" x14ac:dyDescent="0.3">
      <c r="P9" t="s">
        <v>44</v>
      </c>
      <c r="Q9">
        <v>365</v>
      </c>
      <c r="R9">
        <v>32</v>
      </c>
      <c r="S9">
        <f>Q9/R9</f>
        <v>11.40625</v>
      </c>
    </row>
    <row r="10" spans="1:19" x14ac:dyDescent="0.3">
      <c r="P10" t="s">
        <v>45</v>
      </c>
      <c r="Q10">
        <v>365</v>
      </c>
      <c r="R10">
        <v>48</v>
      </c>
      <c r="S10">
        <f>Q10/R10</f>
        <v>7.604166666666667</v>
      </c>
    </row>
    <row r="12" spans="1:19" x14ac:dyDescent="0.3">
      <c r="P12" t="s">
        <v>61</v>
      </c>
    </row>
    <row r="13" spans="1:19" x14ac:dyDescent="0.3">
      <c r="P13" t="s">
        <v>44</v>
      </c>
      <c r="Q13" s="6">
        <f>S5</f>
        <v>88980</v>
      </c>
      <c r="R13">
        <f>S9</f>
        <v>11.40625</v>
      </c>
      <c r="S13" s="6">
        <f>Q13/R13</f>
        <v>7800.9863013698632</v>
      </c>
    </row>
    <row r="14" spans="1:19" x14ac:dyDescent="0.3">
      <c r="P14" t="s">
        <v>45</v>
      </c>
      <c r="Q14" s="6">
        <f>S6</f>
        <v>104551.5</v>
      </c>
      <c r="R14">
        <f>S10</f>
        <v>7.604166666666667</v>
      </c>
      <c r="S14" s="6">
        <f>Q14/R14</f>
        <v>13749.238356164384</v>
      </c>
    </row>
    <row r="16" spans="1:19" x14ac:dyDescent="0.3">
      <c r="A16" s="9"/>
      <c r="P16" t="s">
        <v>53</v>
      </c>
    </row>
    <row r="18" spans="15:21" x14ac:dyDescent="0.3">
      <c r="P18" t="s">
        <v>49</v>
      </c>
      <c r="U18" s="6">
        <f>S14</f>
        <v>13749.238356164384</v>
      </c>
    </row>
    <row r="19" spans="15:21" x14ac:dyDescent="0.3">
      <c r="P19" t="s">
        <v>50</v>
      </c>
      <c r="T19" s="6">
        <f>S13</f>
        <v>7800.9863013698632</v>
      </c>
    </row>
    <row r="20" spans="15:21" x14ac:dyDescent="0.3">
      <c r="P20" t="s">
        <v>51</v>
      </c>
      <c r="U20" s="14">
        <f>U18-T19</f>
        <v>5948.2520547945205</v>
      </c>
    </row>
    <row r="21" spans="15:21" x14ac:dyDescent="0.3">
      <c r="P21" t="s">
        <v>52</v>
      </c>
      <c r="U21">
        <v>0.12</v>
      </c>
    </row>
    <row r="22" spans="15:21" x14ac:dyDescent="0.3">
      <c r="P22" t="s">
        <v>53</v>
      </c>
      <c r="U22" s="6">
        <f>U21*U20</f>
        <v>713.79024657534239</v>
      </c>
    </row>
    <row r="24" spans="15:21" x14ac:dyDescent="0.3">
      <c r="O24" s="9"/>
      <c r="P24" t="s">
        <v>63</v>
      </c>
    </row>
    <row r="25" spans="15:21" x14ac:dyDescent="0.3">
      <c r="P25" t="s">
        <v>45</v>
      </c>
      <c r="Q25" s="6">
        <f>0.02*S6</f>
        <v>2091.0300000000002</v>
      </c>
    </row>
    <row r="26" spans="15:21" x14ac:dyDescent="0.3">
      <c r="P26" t="s">
        <v>44</v>
      </c>
      <c r="Q26" s="6">
        <f>0.01*S5</f>
        <v>889.80000000000007</v>
      </c>
    </row>
    <row r="27" spans="15:21" x14ac:dyDescent="0.3">
      <c r="Q27" t="s">
        <v>63</v>
      </c>
      <c r="T27" s="6">
        <f>Q25-Q26</f>
        <v>1201.23</v>
      </c>
    </row>
    <row r="29" spans="15:21" x14ac:dyDescent="0.3">
      <c r="O29" s="9" t="s">
        <v>62</v>
      </c>
    </row>
    <row r="30" spans="15:21" x14ac:dyDescent="0.3">
      <c r="P30" s="9" t="s">
        <v>64</v>
      </c>
    </row>
    <row r="32" spans="15:21" x14ac:dyDescent="0.3">
      <c r="P32" t="s">
        <v>65</v>
      </c>
    </row>
    <row r="33" spans="15:21" x14ac:dyDescent="0.3">
      <c r="Q33">
        <f>0.05/(1-0.05)*365/25</f>
        <v>0.768421052631579</v>
      </c>
      <c r="R33">
        <f>Q33*100</f>
        <v>76.842105263157904</v>
      </c>
      <c r="S33" t="s">
        <v>70</v>
      </c>
    </row>
    <row r="34" spans="15:21" x14ac:dyDescent="0.3">
      <c r="P34" t="s">
        <v>66</v>
      </c>
    </row>
    <row r="35" spans="15:21" x14ac:dyDescent="0.3">
      <c r="Q35">
        <f>0.025/(1-0.025)*365/35</f>
        <v>0.26739926739926739</v>
      </c>
      <c r="R35">
        <f>Q35*100</f>
        <v>26.739926739926741</v>
      </c>
    </row>
    <row r="36" spans="15:21" x14ac:dyDescent="0.3">
      <c r="P36" t="s">
        <v>67</v>
      </c>
    </row>
    <row r="37" spans="15:21" x14ac:dyDescent="0.3">
      <c r="Q37">
        <f>0.04/(1-0.04)*365/45</f>
        <v>0.33796296296296302</v>
      </c>
      <c r="R37">
        <f>Q37*100</f>
        <v>33.796296296296305</v>
      </c>
    </row>
    <row r="39" spans="15:21" x14ac:dyDescent="0.3">
      <c r="P39" s="17" t="s">
        <v>68</v>
      </c>
      <c r="Q39" s="17"/>
      <c r="R39" s="17"/>
      <c r="S39" s="17"/>
      <c r="T39" s="17"/>
      <c r="U39" s="17"/>
    </row>
    <row r="40" spans="15:21" x14ac:dyDescent="0.3">
      <c r="P40" s="17"/>
      <c r="Q40" s="17"/>
      <c r="R40" s="17"/>
      <c r="S40" s="17"/>
      <c r="T40" s="17"/>
      <c r="U40" s="17"/>
    </row>
    <row r="41" spans="15:21" x14ac:dyDescent="0.3">
      <c r="P41" s="17"/>
      <c r="Q41" s="17"/>
      <c r="R41" s="17"/>
      <c r="S41" s="17"/>
      <c r="T41" s="17"/>
      <c r="U41" s="17"/>
    </row>
    <row r="42" spans="15:21" x14ac:dyDescent="0.3">
      <c r="P42" s="17"/>
      <c r="Q42" s="17"/>
      <c r="R42" s="17"/>
      <c r="S42" s="17"/>
      <c r="T42" s="17"/>
      <c r="U42" s="17"/>
    </row>
    <row r="43" spans="15:21" x14ac:dyDescent="0.3">
      <c r="P43" s="17"/>
      <c r="Q43" s="17"/>
      <c r="R43" s="17"/>
      <c r="S43" s="17"/>
      <c r="T43" s="17"/>
      <c r="U43" s="17"/>
    </row>
    <row r="44" spans="15:21" x14ac:dyDescent="0.3">
      <c r="P44" s="17"/>
      <c r="Q44" s="17"/>
      <c r="R44" s="17"/>
      <c r="S44" s="17"/>
      <c r="T44" s="17"/>
      <c r="U44" s="17"/>
    </row>
    <row r="46" spans="15:21" x14ac:dyDescent="0.3">
      <c r="O46" s="9" t="s">
        <v>69</v>
      </c>
    </row>
    <row r="47" spans="15:21" ht="28.8" x14ac:dyDescent="0.3">
      <c r="P47" s="7" t="s">
        <v>71</v>
      </c>
      <c r="Q47" s="15">
        <v>332000</v>
      </c>
      <c r="R47" s="5" t="s">
        <v>72</v>
      </c>
      <c r="S47" s="4">
        <v>72</v>
      </c>
      <c r="T47" s="5" t="s">
        <v>73</v>
      </c>
      <c r="U47" s="4">
        <f>16.5/100</f>
        <v>0.16500000000000001</v>
      </c>
    </row>
    <row r="49" spans="16:18" x14ac:dyDescent="0.3">
      <c r="P49" t="s">
        <v>74</v>
      </c>
    </row>
    <row r="51" spans="16:18" x14ac:dyDescent="0.3">
      <c r="P51" t="s">
        <v>54</v>
      </c>
      <c r="Q51" s="6">
        <f>Q47*(U47*(S47/12))</f>
        <v>328680</v>
      </c>
      <c r="R51" s="20">
        <f>Q51/Q52</f>
        <v>0.99</v>
      </c>
    </row>
    <row r="52" spans="16:18" x14ac:dyDescent="0.3">
      <c r="Q52" s="6">
        <f>Q47</f>
        <v>332000</v>
      </c>
      <c r="R52" s="20"/>
    </row>
    <row r="54" spans="16:18" x14ac:dyDescent="0.3">
      <c r="P54" t="s">
        <v>55</v>
      </c>
      <c r="Q54">
        <f>R51*(12/S47)</f>
        <v>0.16499999999999998</v>
      </c>
    </row>
    <row r="56" spans="16:18" x14ac:dyDescent="0.3">
      <c r="P56" t="s">
        <v>56</v>
      </c>
      <c r="Q56">
        <f>1.09^(72/9)</f>
        <v>1.9925626416901929</v>
      </c>
      <c r="R56">
        <f>Q56-1</f>
        <v>0.99256264169019293</v>
      </c>
    </row>
    <row r="69" spans="9:9" x14ac:dyDescent="0.3">
      <c r="I69" t="s">
        <v>83</v>
      </c>
    </row>
  </sheetData>
  <mergeCells count="2">
    <mergeCell ref="P39:U44"/>
    <mergeCell ref="R51:R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Ciclo de conversión de efectivo</vt:lpstr>
      <vt:lpstr>Capital de Trabajo - Inversión</vt:lpstr>
      <vt:lpstr>Costo de la inversión marginal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DANIEL SAJVIN GOMEZ</dc:creator>
  <cp:lastModifiedBy>MARIO DANIEL SAJVIN GOMEZ</cp:lastModifiedBy>
  <dcterms:created xsi:type="dcterms:W3CDTF">2025-04-30T02:46:13Z</dcterms:created>
  <dcterms:modified xsi:type="dcterms:W3CDTF">2025-04-30T17:22:15Z</dcterms:modified>
</cp:coreProperties>
</file>